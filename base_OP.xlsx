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лэмб\"/>
    </mc:Choice>
  </mc:AlternateContent>
  <xr:revisionPtr revIDLastSave="0" documentId="13_ncr:1_{1C5CA605-A60A-420D-8708-6F84C850EE87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аннотация" sheetId="1" r:id="rId1"/>
    <sheet name="stations" sheetId="2" r:id="rId2"/>
    <sheet name="NB" sheetId="3" r:id="rId3"/>
    <sheet name="Hydrobia samples" sheetId="6" r:id="rId4"/>
    <sheet name="size" sheetId="4" r:id="rId5"/>
    <sheet name="species_list" sheetId="5" r:id="rId6"/>
  </sheets>
  <externalReferences>
    <externalReference r:id="rId7"/>
  </externalReferences>
  <definedNames>
    <definedName name="_xlnm._FilterDatabase" localSheetId="2" hidden="1">NB!$A$1:$I$302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3" l="1"/>
  <c r="F54" i="3"/>
  <c r="F92" i="3"/>
  <c r="F93" i="3"/>
  <c r="F94" i="3"/>
  <c r="F95" i="3"/>
  <c r="F96" i="3"/>
  <c r="F97" i="3"/>
  <c r="F98" i="3"/>
  <c r="F45" i="3"/>
  <c r="F46" i="3"/>
  <c r="F47" i="3"/>
  <c r="F48" i="3"/>
  <c r="F49" i="3"/>
  <c r="F50" i="3"/>
  <c r="F51" i="3"/>
  <c r="F52" i="3"/>
  <c r="F20" i="3"/>
  <c r="F21" i="3"/>
  <c r="F22" i="3"/>
  <c r="F23" i="3"/>
  <c r="F19" i="3"/>
  <c r="F295" i="3"/>
  <c r="F296" i="3"/>
  <c r="F297" i="3"/>
  <c r="F298" i="3"/>
  <c r="F299" i="3"/>
  <c r="F300" i="3"/>
  <c r="F301" i="3"/>
  <c r="F302" i="3"/>
  <c r="F17" i="3"/>
  <c r="F18" i="3"/>
  <c r="F24" i="3"/>
  <c r="F91" i="3"/>
  <c r="F87" i="3"/>
  <c r="F88" i="3"/>
  <c r="F89" i="3"/>
  <c r="F90" i="3"/>
  <c r="F106" i="3"/>
  <c r="F107" i="3"/>
  <c r="F108" i="3"/>
  <c r="F109" i="3"/>
  <c r="F110" i="3"/>
  <c r="F118" i="3"/>
  <c r="F119" i="3"/>
  <c r="F31" i="3"/>
  <c r="F32" i="3"/>
  <c r="F33" i="3"/>
  <c r="F34" i="3"/>
  <c r="F35" i="3"/>
  <c r="F36" i="3"/>
  <c r="F85" i="3"/>
  <c r="F86" i="3"/>
  <c r="F77" i="3"/>
  <c r="F78" i="3"/>
  <c r="F7" i="3"/>
  <c r="F14" i="3"/>
  <c r="F15" i="3"/>
  <c r="F16" i="3"/>
  <c r="F8" i="3"/>
  <c r="F9" i="3"/>
  <c r="F69" i="3"/>
  <c r="F200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J7" i="6"/>
  <c r="J12" i="6" s="1"/>
  <c r="F68" i="3"/>
  <c r="F67" i="3"/>
  <c r="F66" i="3"/>
  <c r="F65" i="3"/>
  <c r="F64" i="3"/>
  <c r="F63" i="3"/>
  <c r="F13" i="3"/>
  <c r="F12" i="3"/>
  <c r="F11" i="3"/>
  <c r="F10" i="3"/>
  <c r="F44" i="3"/>
  <c r="F43" i="3"/>
  <c r="F42" i="3"/>
  <c r="F41" i="3"/>
  <c r="F40" i="3"/>
  <c r="F39" i="3"/>
  <c r="F38" i="3"/>
  <c r="F37" i="3"/>
  <c r="F6" i="3"/>
  <c r="F5" i="3"/>
  <c r="F4" i="3"/>
  <c r="F3" i="3"/>
  <c r="F2" i="3"/>
  <c r="F84" i="3"/>
  <c r="F83" i="3"/>
  <c r="F82" i="3"/>
  <c r="F81" i="3"/>
  <c r="F80" i="3"/>
  <c r="F79" i="3"/>
  <c r="F30" i="3"/>
  <c r="F29" i="3"/>
  <c r="F28" i="3"/>
  <c r="F27" i="3"/>
  <c r="F26" i="3"/>
  <c r="F25" i="3"/>
  <c r="F76" i="3"/>
  <c r="F75" i="3"/>
  <c r="F74" i="3"/>
  <c r="F73" i="3"/>
  <c r="F72" i="3"/>
  <c r="F71" i="3"/>
  <c r="F70" i="3"/>
  <c r="F117" i="3"/>
  <c r="F116" i="3"/>
  <c r="F115" i="3"/>
  <c r="F114" i="3"/>
  <c r="F113" i="3"/>
  <c r="F112" i="3"/>
  <c r="F111" i="3"/>
  <c r="F105" i="3"/>
  <c r="F104" i="3"/>
  <c r="F103" i="3"/>
  <c r="F102" i="3"/>
  <c r="F101" i="3"/>
  <c r="F100" i="3"/>
  <c r="F99" i="3"/>
  <c r="F62" i="3"/>
  <c r="F61" i="3"/>
  <c r="F60" i="3"/>
  <c r="F59" i="3"/>
  <c r="F58" i="3"/>
  <c r="F57" i="3"/>
  <c r="F56" i="3"/>
  <c r="F55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J11" i="6" l="1"/>
  <c r="J13" i="6" s="1"/>
</calcChain>
</file>

<file path=xl/sharedStrings.xml><?xml version="1.0" encoding="utf-8"?>
<sst xmlns="http://schemas.openxmlformats.org/spreadsheetml/2006/main" count="3455" uniqueCount="1304">
  <si>
    <t>date</t>
  </si>
  <si>
    <t>station</t>
  </si>
  <si>
    <t>coord_lat</t>
  </si>
  <si>
    <t>coord_lon</t>
  </si>
  <si>
    <t>sample</t>
  </si>
  <si>
    <t>sample_id</t>
  </si>
  <si>
    <t>sample_area</t>
  </si>
  <si>
    <t>mesh_size</t>
  </si>
  <si>
    <t>salinity</t>
  </si>
  <si>
    <t>fucoids_m</t>
  </si>
  <si>
    <t>field_note</t>
  </si>
  <si>
    <t>ОН34_3</t>
  </si>
  <si>
    <t>рядом с каменистой грядой с фукоидами, грунт сходный с ОН32, указан вес фукоидов</t>
  </si>
  <si>
    <t>ОН34_2</t>
  </si>
  <si>
    <t>лагуна, ограниченная каменистой грядой с фукоидами, Entreomorpha, Crangon</t>
  </si>
  <si>
    <t>в пределах рамки 31_3 - пескожил.</t>
  </si>
  <si>
    <t>station_name</t>
  </si>
  <si>
    <t>size_code</t>
  </si>
  <si>
    <t>taxon_name</t>
  </si>
  <si>
    <t>species_code</t>
  </si>
  <si>
    <t>density</t>
  </si>
  <si>
    <t>biomass</t>
  </si>
  <si>
    <t>added_by_user</t>
  </si>
  <si>
    <t>notes</t>
  </si>
  <si>
    <t>ОН32_3</t>
  </si>
  <si>
    <t>NA</t>
  </si>
  <si>
    <t>Macoma balthica</t>
  </si>
  <si>
    <t>Аристов</t>
  </si>
  <si>
    <t>Alexeeva_onega25.pdf(3-4)</t>
  </si>
  <si>
    <t>Fucus vesiculosus</t>
  </si>
  <si>
    <t>Enteromorpha prolifera</t>
  </si>
  <si>
    <t>Ilea zostericola</t>
  </si>
  <si>
    <t>Polysiphonia sp.</t>
  </si>
  <si>
    <t>Nymphon sp.</t>
  </si>
  <si>
    <t>Spio theeli</t>
  </si>
  <si>
    <t>Eteone longa</t>
  </si>
  <si>
    <t>Capitella capitata</t>
  </si>
  <si>
    <t>Arenicola marina</t>
  </si>
  <si>
    <t>Nephthys minuta</t>
  </si>
  <si>
    <t>Polychaeta</t>
  </si>
  <si>
    <t>Tubificoides benedeni</t>
  </si>
  <si>
    <t>Tubifex costatus</t>
  </si>
  <si>
    <t>Clitellio arenarius</t>
  </si>
  <si>
    <t>Mytilus edulis</t>
  </si>
  <si>
    <t>Hydrobia ulvae</t>
  </si>
  <si>
    <t>ОН32_1</t>
  </si>
  <si>
    <t>Alexeeva_onega25.pdf(4-5)</t>
  </si>
  <si>
    <t>Crangon crangon</t>
  </si>
  <si>
    <t>Pyllaiella litoralis</t>
  </si>
  <si>
    <t>Dynamena pumila</t>
  </si>
  <si>
    <t>Aulactinia stella</t>
  </si>
  <si>
    <t>Gammarus sp.</t>
  </si>
  <si>
    <t>Calliopius laeviusculus</t>
  </si>
  <si>
    <t>Chironomidae</t>
  </si>
  <si>
    <t>Pygospio elegans</t>
  </si>
  <si>
    <t>Phyllodoce maculata</t>
  </si>
  <si>
    <t>Littorina littorea</t>
  </si>
  <si>
    <t>Alexeeva_onega25.pdf(5-6)</t>
  </si>
  <si>
    <t>Mya arenaria</t>
  </si>
  <si>
    <t>Littorina obtusata</t>
  </si>
  <si>
    <t>возм. часть - L. fabalis, Alexeeva_onega25.pdf(5-6)</t>
  </si>
  <si>
    <t>Epheria vincta</t>
  </si>
  <si>
    <t>Cladophora sericea</t>
  </si>
  <si>
    <t>Lacuna neritoidea</t>
  </si>
  <si>
    <t>Enchitreidae</t>
  </si>
  <si>
    <t>Jaera albifrons</t>
  </si>
  <si>
    <t>Alexeeva_onega25.pdf(6-7)</t>
  </si>
  <si>
    <t>Onoba aculeus</t>
  </si>
  <si>
    <t>Dictyosiphon sp.</t>
  </si>
  <si>
    <t>ОН17_3</t>
  </si>
  <si>
    <t>Alexeeva_onega25.pdf(7-8), фауна с сита 0.5 просуммирована</t>
  </si>
  <si>
    <t>Paranais litoralis</t>
  </si>
  <si>
    <t>Hydrobia ventrosa</t>
  </si>
  <si>
    <t>Alexeeva_onega25.pdf(7-8), фауна с сита 0.5 просуммирована, рассчетные значения, суммарно 720x2,051</t>
  </si>
  <si>
    <t>ОН19_3</t>
  </si>
  <si>
    <t>Alita virens</t>
  </si>
  <si>
    <t>ОН19_2</t>
  </si>
  <si>
    <t>ОН18_3</t>
  </si>
  <si>
    <t>ОН16_3</t>
  </si>
  <si>
    <t>ОН18_2</t>
  </si>
  <si>
    <t>ОН8_3</t>
  </si>
  <si>
    <t>ОН16_2</t>
  </si>
  <si>
    <t>Alexeeva_onega25.pdf(12, 13 (0.5))</t>
  </si>
  <si>
    <t>Alexeeva_onega25.pdf(12,13), рассчетные значения, суммарно 1177x3627 + гидробии из 0.5</t>
  </si>
  <si>
    <t>ОН8_2</t>
  </si>
  <si>
    <t>Alexeeva_onega25.pdf(12), рассчетные значения, суммарно 470x1,087</t>
  </si>
  <si>
    <t>ОН17_2</t>
  </si>
  <si>
    <t>вводим сюда значения</t>
  </si>
  <si>
    <t>выборка 1</t>
  </si>
  <si>
    <t>Nобщ</t>
  </si>
  <si>
    <t>выборка 2</t>
  </si>
  <si>
    <t>nP</t>
  </si>
  <si>
    <t>nE</t>
  </si>
  <si>
    <t>NPрасс</t>
  </si>
  <si>
    <t>NEрасс</t>
  </si>
  <si>
    <t>Ntotal</t>
  </si>
  <si>
    <t>size</t>
  </si>
  <si>
    <t>worms</t>
  </si>
  <si>
    <t>worms_accepted</t>
  </si>
  <si>
    <t>Abietinaria abietina</t>
  </si>
  <si>
    <t>Sertularella sp.</t>
  </si>
  <si>
    <t>Cerianthus lloydi</t>
  </si>
  <si>
    <t>Halosaccion ramentaceum</t>
  </si>
  <si>
    <t>Chlorophyta</t>
  </si>
  <si>
    <t>Monostroma grivelli</t>
  </si>
  <si>
    <t>Ruppia maritima</t>
  </si>
  <si>
    <t>Salicornia pojarkovi</t>
  </si>
  <si>
    <t>Tripolium vulgare</t>
  </si>
  <si>
    <t>Triglochin maritimum</t>
  </si>
  <si>
    <t>Zostera marina</t>
  </si>
  <si>
    <t>Gersemia fruticosa</t>
  </si>
  <si>
    <t>Crangon allmanni</t>
  </si>
  <si>
    <t>Hydrozoa</t>
  </si>
  <si>
    <t>Bryozoa</t>
  </si>
  <si>
    <t>Porifera</t>
  </si>
  <si>
    <t>Amphipoda</t>
  </si>
  <si>
    <t>Holothuroidea</t>
  </si>
  <si>
    <t>Praxillura sp.</t>
  </si>
  <si>
    <t>Scoloplos acutus</t>
  </si>
  <si>
    <t>Nephthys neotena</t>
  </si>
  <si>
    <t>Scytosiphon lomentarius</t>
  </si>
  <si>
    <t>Paredwardsia arenaria</t>
  </si>
  <si>
    <t>Pontoporea affinis</t>
  </si>
  <si>
    <t>Spiophanes kroyeri</t>
  </si>
  <si>
    <t>Synidotea bicuspida</t>
  </si>
  <si>
    <t>Synidotea nodulosa</t>
  </si>
  <si>
    <t>Astarte crenata</t>
  </si>
  <si>
    <t>Astarte sulcata</t>
  </si>
  <si>
    <t>Axinulus ferruginosus</t>
  </si>
  <si>
    <t>Byblis erythrops</t>
  </si>
  <si>
    <t>Byblis gaimardi</t>
  </si>
  <si>
    <t>Bylgides groenlandicus</t>
  </si>
  <si>
    <t>Coelenterata</t>
  </si>
  <si>
    <t>Cyrtodaria kurriana</t>
  </si>
  <si>
    <t>Echiurus echiurus</t>
  </si>
  <si>
    <t>Ericthonius rubricornis</t>
  </si>
  <si>
    <t>Ericthonius megalops</t>
  </si>
  <si>
    <t>Eudorella emarginata</t>
  </si>
  <si>
    <t>Goesia depressa</t>
  </si>
  <si>
    <t>Leaena ebranchiata</t>
  </si>
  <si>
    <t>Leptognathia gracilis</t>
  </si>
  <si>
    <t>Levinsenia gracilis</t>
  </si>
  <si>
    <t>Liocyma fluctuosa</t>
  </si>
  <si>
    <t>Lucernaria quadricornis</t>
  </si>
  <si>
    <t>Mactra elliptica</t>
  </si>
  <si>
    <t>Melinnexis arctica</t>
  </si>
  <si>
    <t>Merenzellaria arctia</t>
  </si>
  <si>
    <t>Merenzellaria wireni</t>
  </si>
  <si>
    <t>Saduria sibirica</t>
  </si>
  <si>
    <t>Saduria sabini</t>
  </si>
  <si>
    <t>Microdeutopus damonsiensis</t>
  </si>
  <si>
    <t>Monoculopsis longicornis</t>
  </si>
  <si>
    <t>Myriotrochus rinckii</t>
  </si>
  <si>
    <t>Mysta barbata</t>
  </si>
  <si>
    <t>Acanthonotozoma rusanovae</t>
  </si>
  <si>
    <t>Neoiphinoe kroeyeri</t>
  </si>
  <si>
    <t>Ophelina cylindricaudata</t>
  </si>
  <si>
    <t>Ophiocten sericeum</t>
  </si>
  <si>
    <t>Paraphoxus oculatus</t>
  </si>
  <si>
    <t>Pelonaia corrugata</t>
  </si>
  <si>
    <t>Phascolion strombi</t>
  </si>
  <si>
    <t>Polyphysia crassa</t>
  </si>
  <si>
    <t>Campylaspis sp.</t>
  </si>
  <si>
    <t>Byblis sp.</t>
  </si>
  <si>
    <t>Eudorella sp.</t>
  </si>
  <si>
    <t>Acanthonotozoma serratum</t>
  </si>
  <si>
    <t>Harmothoe sp.</t>
  </si>
  <si>
    <t>Onoba sp.</t>
  </si>
  <si>
    <t>Lamprops sp.</t>
  </si>
  <si>
    <t>Microdeutopus sp.</t>
  </si>
  <si>
    <t>Thracia sp.</t>
  </si>
  <si>
    <t>Typhlotanais sp.</t>
  </si>
  <si>
    <t>Volutopsis sp.</t>
  </si>
  <si>
    <t>Stenothoe sp.</t>
  </si>
  <si>
    <t>Acanthostepheia malmgreni</t>
  </si>
  <si>
    <t>Astartidae</t>
  </si>
  <si>
    <t>Idotheidae</t>
  </si>
  <si>
    <t>Lyssianassidae</t>
  </si>
  <si>
    <t>Oedicerotidae</t>
  </si>
  <si>
    <t>Polynoidae</t>
  </si>
  <si>
    <t>Thraciidae</t>
  </si>
  <si>
    <t>Verticordiiformes</t>
  </si>
  <si>
    <t>Halirages sp.</t>
  </si>
  <si>
    <t>Aceroides latipes</t>
  </si>
  <si>
    <t>Onuphis sp.</t>
  </si>
  <si>
    <t>Dorvelleidae</t>
  </si>
  <si>
    <t>Colus ebur</t>
  </si>
  <si>
    <t>Dasychone sp.</t>
  </si>
  <si>
    <t>Cossura sp.</t>
  </si>
  <si>
    <t>Lumbrinereis sp.</t>
  </si>
  <si>
    <t>Thyasira sp.</t>
  </si>
  <si>
    <t>Flustra sp.</t>
  </si>
  <si>
    <t>Scaphander sp.</t>
  </si>
  <si>
    <t>Flabelligera sp.</t>
  </si>
  <si>
    <t>Arrhis phyllonyx</t>
  </si>
  <si>
    <t>Portlandia lenticula</t>
  </si>
  <si>
    <t>Brada inhabilis</t>
  </si>
  <si>
    <t>Cylichna scalpta</t>
  </si>
  <si>
    <t>Ampelisca gibba</t>
  </si>
  <si>
    <t>Sabella crassicornis</t>
  </si>
  <si>
    <t>Leucon pallidus</t>
  </si>
  <si>
    <t>Leucon fulvus</t>
  </si>
  <si>
    <t>Leucon nathorsti</t>
  </si>
  <si>
    <t>Molgula siphonalis</t>
  </si>
  <si>
    <t>Ampharete borealis</t>
  </si>
  <si>
    <t>Sertularella tricuspidata</t>
  </si>
  <si>
    <t>Arrhis sp.</t>
  </si>
  <si>
    <t>Diastylis nucella</t>
  </si>
  <si>
    <t>Melita formosa</t>
  </si>
  <si>
    <t>Pista sp.</t>
  </si>
  <si>
    <t>Haploops laevis</t>
  </si>
  <si>
    <t>Ischyrocerus enigmaticus</t>
  </si>
  <si>
    <t>Pholoe longa</t>
  </si>
  <si>
    <t>Caprella sp.</t>
  </si>
  <si>
    <t>Haploops sp.</t>
  </si>
  <si>
    <t>Macoma moesta</t>
  </si>
  <si>
    <t>Lanassa nordenskioldi</t>
  </si>
  <si>
    <t>Bathymedon sp.</t>
  </si>
  <si>
    <t>Yoldiella lenticula</t>
  </si>
  <si>
    <t>Onisimus turgidus</t>
  </si>
  <si>
    <t>Molgula manhattensis</t>
  </si>
  <si>
    <t>Admete viridula</t>
  </si>
  <si>
    <t>Pista bansei</t>
  </si>
  <si>
    <t>Microcosmus sp.</t>
  </si>
  <si>
    <t>Colus sabini</t>
  </si>
  <si>
    <t>Diastylis sp.</t>
  </si>
  <si>
    <t>Pleustidae</t>
  </si>
  <si>
    <t>Paraonidae</t>
  </si>
  <si>
    <t>Monoculodes borealis</t>
  </si>
  <si>
    <t>Ampeliscidae</t>
  </si>
  <si>
    <t>Tanaidae</t>
  </si>
  <si>
    <t>Aoridae</t>
  </si>
  <si>
    <t>Naticidae</t>
  </si>
  <si>
    <t>Photidae</t>
  </si>
  <si>
    <t>Calliopiidae</t>
  </si>
  <si>
    <t>Neptunea borealis</t>
  </si>
  <si>
    <t>Mystides borealis</t>
  </si>
  <si>
    <t>Owenia polaris</t>
  </si>
  <si>
    <t>Caprella sedovi</t>
  </si>
  <si>
    <t>Monoculodes latimanus</t>
  </si>
  <si>
    <t>Leptostylis longimana</t>
  </si>
  <si>
    <t>Nicolea venustula</t>
  </si>
  <si>
    <t>Aricia kupfferi</t>
  </si>
  <si>
    <t>Euchone papillosa</t>
  </si>
  <si>
    <t>Manayunkia polaris</t>
  </si>
  <si>
    <t>Oenopota tenuicostata</t>
  </si>
  <si>
    <t>Diastylis lucifera</t>
  </si>
  <si>
    <t>Diastylis edwardsii</t>
  </si>
  <si>
    <t>Diastylis oxyrhyncha</t>
  </si>
  <si>
    <t>Philine finmarchica</t>
  </si>
  <si>
    <t>Monoculodes longirostris</t>
  </si>
  <si>
    <t>Monoculodes hanseni</t>
  </si>
  <si>
    <t>Thyasira sarsii</t>
  </si>
  <si>
    <t>Cucumaria glacialis</t>
  </si>
  <si>
    <t>Eteone spetsbergensis</t>
  </si>
  <si>
    <t>Pontocrates sp.</t>
  </si>
  <si>
    <t>Cauloramphus sp.</t>
  </si>
  <si>
    <t>Cerebratulus barentsi</t>
  </si>
  <si>
    <t>Crisia denticulata</t>
  </si>
  <si>
    <t>Dulichia monacantha</t>
  </si>
  <si>
    <t>Fabriciidae</t>
  </si>
  <si>
    <t>Monoculodes packardi</t>
  </si>
  <si>
    <t>Hemilamprops uniplicata</t>
  </si>
  <si>
    <t>Kelliella miliaris</t>
  </si>
  <si>
    <t>Praxillella gracilis</t>
  </si>
  <si>
    <t>Probebella nobilis</t>
  </si>
  <si>
    <t>Dilsea socialis</t>
  </si>
  <si>
    <t>Spongomorpha sp.</t>
  </si>
  <si>
    <t>Tegella arctica</t>
  </si>
  <si>
    <t>Umbonula patens</t>
  </si>
  <si>
    <t>Tegella sp.</t>
  </si>
  <si>
    <t>Notoproctus oculatus</t>
  </si>
  <si>
    <t>Monoculodes schneideri</t>
  </si>
  <si>
    <t>Maldane arctica</t>
  </si>
  <si>
    <t>Lichenopora sp.</t>
  </si>
  <si>
    <t>Crisia sp.</t>
  </si>
  <si>
    <t>Hippodiplosia sp.</t>
  </si>
  <si>
    <t>Dysponetus pygmaeus</t>
  </si>
  <si>
    <t>Bylgides elegans</t>
  </si>
  <si>
    <t>Oncosoecia sp.</t>
  </si>
  <si>
    <t>Electra sp.</t>
  </si>
  <si>
    <t>Amphoriscus sp.</t>
  </si>
  <si>
    <t>Battersia arctica</t>
  </si>
  <si>
    <t>Monoculodes simplex</t>
  </si>
  <si>
    <t>Sycon sp.</t>
  </si>
  <si>
    <t>Polymastia sp.</t>
  </si>
  <si>
    <t>Eunoe oerstedi</t>
  </si>
  <si>
    <t>Eunoe sp.</t>
  </si>
  <si>
    <t>Sphacelaria sp.</t>
  </si>
  <si>
    <t>Branchiomma arcticum</t>
  </si>
  <si>
    <t>Nais elinguis</t>
  </si>
  <si>
    <t>Amphithopsis longicaudata</t>
  </si>
  <si>
    <t>Phycodrys rubens</t>
  </si>
  <si>
    <t>Leucosolenia complicata</t>
  </si>
  <si>
    <t>Monoculodes tesselatus</t>
  </si>
  <si>
    <t>Euthora fabriciana</t>
  </si>
  <si>
    <t>Scrupocellaria sp.</t>
  </si>
  <si>
    <t>Scagelia pylaisaei</t>
  </si>
  <si>
    <t>Spirorbidae</t>
  </si>
  <si>
    <t>Clathrina sp.</t>
  </si>
  <si>
    <t>Meiodiscus spetsbergensis</t>
  </si>
  <si>
    <t>Pholoe baltica</t>
  </si>
  <si>
    <t>Rhamphostomella bilaminata</t>
  </si>
  <si>
    <t>Obelia longissima</t>
  </si>
  <si>
    <t>Scrupocellariidae</t>
  </si>
  <si>
    <t>Monoculodes sp.</t>
  </si>
  <si>
    <t>Cryptonatica bathybii</t>
  </si>
  <si>
    <t>Derbesia marina</t>
  </si>
  <si>
    <t>Crustacea</t>
  </si>
  <si>
    <t>Grania efflorescens</t>
  </si>
  <si>
    <t>Sabella discifera</t>
  </si>
  <si>
    <t>Stomachetosella limbata</t>
  </si>
  <si>
    <t>Sertularia albimaris</t>
  </si>
  <si>
    <t>Oediceros borealis</t>
  </si>
  <si>
    <t>Oediceros saginatus</t>
  </si>
  <si>
    <t>Paroediceros intermedius</t>
  </si>
  <si>
    <t>Paroediceros lynceus</t>
  </si>
  <si>
    <t>Paroediceros propinquus</t>
  </si>
  <si>
    <t>Pontocrates arcticus</t>
  </si>
  <si>
    <t>Westwoodilla brevicalcar</t>
  </si>
  <si>
    <t>Westwoodilla megalops</t>
  </si>
  <si>
    <t>Westwoodilla sp.</t>
  </si>
  <si>
    <t>Ampelisca eschrichti</t>
  </si>
  <si>
    <t>Sertularia cupressina</t>
  </si>
  <si>
    <t>Ampelisca macrocephala</t>
  </si>
  <si>
    <t>Haploops sibirica</t>
  </si>
  <si>
    <t>Haploops tubicolus</t>
  </si>
  <si>
    <t>Amphithoe rubricata</t>
  </si>
  <si>
    <t>Andaniella pectinata</t>
  </si>
  <si>
    <t>Andaniella effloresans</t>
  </si>
  <si>
    <t>Stegocephalidae</t>
  </si>
  <si>
    <t>Stegocephaloides christianie</t>
  </si>
  <si>
    <t>Stegocephalus inflatus</t>
  </si>
  <si>
    <t>Anonyx lilljeborgi</t>
  </si>
  <si>
    <t>Sertularia mirabilis</t>
  </si>
  <si>
    <t>Anonyx nugax</t>
  </si>
  <si>
    <t>Centromedon pumilus</t>
  </si>
  <si>
    <t>Menigrates obtusifrons</t>
  </si>
  <si>
    <t>Onisimus edwardsi</t>
  </si>
  <si>
    <t>Onisimus plautus</t>
  </si>
  <si>
    <t>Onisimus sp.</t>
  </si>
  <si>
    <t>Orchomenella groenlandica</t>
  </si>
  <si>
    <t>Orchomenella minuta</t>
  </si>
  <si>
    <t>Orchomenella pinguis</t>
  </si>
  <si>
    <t>Sertularia plumosa</t>
  </si>
  <si>
    <t>Orchomenella sp.</t>
  </si>
  <si>
    <t>Socarnes vahli</t>
  </si>
  <si>
    <t>Triphosa schneideri</t>
  </si>
  <si>
    <t>Triphosites longipes</t>
  </si>
  <si>
    <t>Apherusa bispinosa</t>
  </si>
  <si>
    <t>Apherusa sp.</t>
  </si>
  <si>
    <t>Apherusa tridentata</t>
  </si>
  <si>
    <t>Halirages fulvocinctus</t>
  </si>
  <si>
    <t>Argissa hamatipes</t>
  </si>
  <si>
    <t>Sertularia schmidti</t>
  </si>
  <si>
    <t>Atylus carinatus</t>
  </si>
  <si>
    <t>Caprella carina</t>
  </si>
  <si>
    <t>Caprella linearis</t>
  </si>
  <si>
    <t>Caprella septemtrionalis</t>
  </si>
  <si>
    <t>Corophiidae</t>
  </si>
  <si>
    <t>Corophium bonelli</t>
  </si>
  <si>
    <t>Corophium crassicorne</t>
  </si>
  <si>
    <t>Corophium sp.</t>
  </si>
  <si>
    <t>Erycthoneus sp.</t>
  </si>
  <si>
    <t>Erycthonius brasilensis</t>
  </si>
  <si>
    <t>Sertularia sp.</t>
  </si>
  <si>
    <t>Unciola planipes</t>
  </si>
  <si>
    <t>Dulichia bispina</t>
  </si>
  <si>
    <t>Dulichia porrecta</t>
  </si>
  <si>
    <t>Dulichia sp.</t>
  </si>
  <si>
    <t>Dulichia spinosissima</t>
  </si>
  <si>
    <t>Eurystheus melanops</t>
  </si>
  <si>
    <t>Photis reinhardi</t>
  </si>
  <si>
    <t>Protomedeia fasciata</t>
  </si>
  <si>
    <t>Protomedeia grandimana</t>
  </si>
  <si>
    <t>Eusirus cuspidatus</t>
  </si>
  <si>
    <t>Sertularia tenera</t>
  </si>
  <si>
    <t>Rhachotropis aculeata</t>
  </si>
  <si>
    <t>Rozinante fragilis</t>
  </si>
  <si>
    <t>Gammaracanthus loricatus</t>
  </si>
  <si>
    <t>Gammarellus homari</t>
  </si>
  <si>
    <t>Gammaridae</t>
  </si>
  <si>
    <t>Gammaropsis melanops</t>
  </si>
  <si>
    <t>Gammarus duebeni</t>
  </si>
  <si>
    <t>Gammarus oceanicus</t>
  </si>
  <si>
    <t>Gammarus setosus</t>
  </si>
  <si>
    <t>Sertulariidae</t>
  </si>
  <si>
    <t>Gammarus zaddachi</t>
  </si>
  <si>
    <t>Marinogammarus finmarchicus</t>
  </si>
  <si>
    <t>Marinogammarus obtusatus</t>
  </si>
  <si>
    <t>Melita dentata</t>
  </si>
  <si>
    <t>Melita palmata</t>
  </si>
  <si>
    <t>Weyprechtia pinguis</t>
  </si>
  <si>
    <t>Halice abyssi</t>
  </si>
  <si>
    <t>Pardalisca cuspidata</t>
  </si>
  <si>
    <t>Pardalisca tenipes</t>
  </si>
  <si>
    <t>Harpinia antennaria</t>
  </si>
  <si>
    <t>Abietinaria filicula</t>
  </si>
  <si>
    <t>Tamarisca tamarisca</t>
  </si>
  <si>
    <t>Phoxocephalidae</t>
  </si>
  <si>
    <t>Phoxocephalus holboelli</t>
  </si>
  <si>
    <t>Ischerocerus anguipes</t>
  </si>
  <si>
    <t>Ischerocerus angipes</t>
  </si>
  <si>
    <t>Ischyrocerus latipes</t>
  </si>
  <si>
    <t>Ischyrocerus megacheir</t>
  </si>
  <si>
    <t>Ischyrocerus sp.</t>
  </si>
  <si>
    <t>Parajassa pelagica</t>
  </si>
  <si>
    <t>Parajassa sp.</t>
  </si>
  <si>
    <t>Lembos sp.</t>
  </si>
  <si>
    <t>Thuiaria articulata</t>
  </si>
  <si>
    <t>Melphidippe goesi</t>
  </si>
  <si>
    <t>Metopa alderi</t>
  </si>
  <si>
    <t>Metopa norvegica</t>
  </si>
  <si>
    <t>Metopa palmata</t>
  </si>
  <si>
    <t>Metopa pusilla</t>
  </si>
  <si>
    <t>Metopa robusta</t>
  </si>
  <si>
    <t>Neopleustes pulchellus</t>
  </si>
  <si>
    <t>Parapleustes assimilis</t>
  </si>
  <si>
    <t>Parapleustes bicuspis</t>
  </si>
  <si>
    <t>Parapleustes monocuspis</t>
  </si>
  <si>
    <t>Thuiaria carica</t>
  </si>
  <si>
    <t>Pleustes panoplus</t>
  </si>
  <si>
    <t>Pleustes medius</t>
  </si>
  <si>
    <t>Sympleustes glaber</t>
  </si>
  <si>
    <t>Paramphythoe cuspidata</t>
  </si>
  <si>
    <t>Pontoporea femorata</t>
  </si>
  <si>
    <t>Priscillina armata</t>
  </si>
  <si>
    <t>Pseudolibrotus littoralis</t>
  </si>
  <si>
    <t>Syrroe crenulata</t>
  </si>
  <si>
    <t>Tiron acanthurus</t>
  </si>
  <si>
    <t>Anisopoda</t>
  </si>
  <si>
    <t>Thuiaria cupressiodes</t>
  </si>
  <si>
    <t>Leptognathia sarsi</t>
  </si>
  <si>
    <t>Balanus balanus</t>
  </si>
  <si>
    <t>Balanus crenatus</t>
  </si>
  <si>
    <t>Balanus sp.</t>
  </si>
  <si>
    <t>Semibalanus balanoides</t>
  </si>
  <si>
    <t>Verruca stroemia</t>
  </si>
  <si>
    <t>Brachidiastylis resima</t>
  </si>
  <si>
    <t>Diastylis glabra</t>
  </si>
  <si>
    <t>Diastylis rathkei</t>
  </si>
  <si>
    <t>Diastylis scorpioides</t>
  </si>
  <si>
    <t>Thuiaria laxa</t>
  </si>
  <si>
    <t>Diastylis sulcata</t>
  </si>
  <si>
    <t>Leptostylis ampulacea</t>
  </si>
  <si>
    <t>Leptostylis macrura</t>
  </si>
  <si>
    <t>Campylaspis costata</t>
  </si>
  <si>
    <t>Campylaspis rubicunda</t>
  </si>
  <si>
    <t>Campylaspis umbensis</t>
  </si>
  <si>
    <t>Cumacea</t>
  </si>
  <si>
    <t>Lamprops fuscata</t>
  </si>
  <si>
    <t>Leucon nasicoides</t>
  </si>
  <si>
    <t>Petalosarsia declivis</t>
  </si>
  <si>
    <t>Thuiaria obsoleta</t>
  </si>
  <si>
    <t>Sabinea septemcarinata</t>
  </si>
  <si>
    <t>Sclerocrangon boreas</t>
  </si>
  <si>
    <t>Decapoda</t>
  </si>
  <si>
    <t>Slerocrangon boreas</t>
  </si>
  <si>
    <t>Eualis gaimardi</t>
  </si>
  <si>
    <t>Lebbeus polaris</t>
  </si>
  <si>
    <t>Hyas araneus</t>
  </si>
  <si>
    <t>Pagurus pubescens</t>
  </si>
  <si>
    <t>Pandalus annulicornis</t>
  </si>
  <si>
    <t>Thuiaria thuja</t>
  </si>
  <si>
    <t>Isopoda</t>
  </si>
  <si>
    <t>Limnoria lignorum</t>
  </si>
  <si>
    <t>Munna fabricii</t>
  </si>
  <si>
    <t>Pleurogonium inerme</t>
  </si>
  <si>
    <t>Saduria entomon</t>
  </si>
  <si>
    <t>Mysis sp.</t>
  </si>
  <si>
    <t>Sacarnes wahli</t>
  </si>
  <si>
    <t>Ammothea borealis</t>
  </si>
  <si>
    <t>Eurycyde hispida</t>
  </si>
  <si>
    <t>Acaulis primaris</t>
  </si>
  <si>
    <t>Chaetonymphon hirtum</t>
  </si>
  <si>
    <t>Nymphon braevirostrae</t>
  </si>
  <si>
    <t>Nymphon grossipes</t>
  </si>
  <si>
    <t>Nymphon longitarse</t>
  </si>
  <si>
    <t>Nymphon micronix</t>
  </si>
  <si>
    <t>Nymphon rubrum</t>
  </si>
  <si>
    <t>Phoxichilidium femoratum</t>
  </si>
  <si>
    <t>Pseudopallene circularis</t>
  </si>
  <si>
    <t>Pseudopallene spinipes</t>
  </si>
  <si>
    <t>Stauridia producta</t>
  </si>
  <si>
    <t>Pantopoda</t>
  </si>
  <si>
    <t>Chironomus salinarius</t>
  </si>
  <si>
    <t>Cricotopus vitripenis</t>
  </si>
  <si>
    <t>Culicoides sp.</t>
  </si>
  <si>
    <t>Diptera</t>
  </si>
  <si>
    <t>Dolichopodidae</t>
  </si>
  <si>
    <t>Psichodidae</t>
  </si>
  <si>
    <t>Tendipedidae</t>
  </si>
  <si>
    <t>Ephemerella notata</t>
  </si>
  <si>
    <t>Bougainvillia superciliaris</t>
  </si>
  <si>
    <t>Adalaria loveni</t>
  </si>
  <si>
    <t>Adalaria proxima</t>
  </si>
  <si>
    <t>Onchidoris bilamellata</t>
  </si>
  <si>
    <t>Onchidoris muricata</t>
  </si>
  <si>
    <t>Onchidoris sp.</t>
  </si>
  <si>
    <t>Ancula cristata</t>
  </si>
  <si>
    <t>Cadlina laevis</t>
  </si>
  <si>
    <t>Palio dubia</t>
  </si>
  <si>
    <t>Admete couthouyi</t>
  </si>
  <si>
    <t>Curtitoma novajasjemlensis</t>
  </si>
  <si>
    <t>Diphasia falax</t>
  </si>
  <si>
    <t>Hydractinia allmani</t>
  </si>
  <si>
    <t>Curtitoma trevelliana</t>
  </si>
  <si>
    <t>Curtitoma violacea</t>
  </si>
  <si>
    <t>Obestoma gigas</t>
  </si>
  <si>
    <t>Obestoma simplex</t>
  </si>
  <si>
    <t>Oenopota cancellata</t>
  </si>
  <si>
    <t>Oenopota harpa</t>
  </si>
  <si>
    <t>Oenopota obliqua</t>
  </si>
  <si>
    <t>Oenopota pingelii</t>
  </si>
  <si>
    <t>Oenopota pyramidalis</t>
  </si>
  <si>
    <t>Oenopota sp.</t>
  </si>
  <si>
    <t>Hydractinia carica</t>
  </si>
  <si>
    <t>Probebella harpularioides</t>
  </si>
  <si>
    <t>Propebela exarata</t>
  </si>
  <si>
    <t>Propebela harpularia</t>
  </si>
  <si>
    <t>Propebela nobilis</t>
  </si>
  <si>
    <t>Propebela rugulata</t>
  </si>
  <si>
    <t>Propebela scalaris</t>
  </si>
  <si>
    <t>Propebela spitzbergensis</t>
  </si>
  <si>
    <t>Propebela viridula</t>
  </si>
  <si>
    <t>Aeolidia papillosa</t>
  </si>
  <si>
    <t>Chlamylla atypica</t>
  </si>
  <si>
    <t>Hydractinia echinata</t>
  </si>
  <si>
    <t>Chlamylla stimpsoni</t>
  </si>
  <si>
    <t>Chlamylla typica</t>
  </si>
  <si>
    <t>Coryphella gracilis</t>
  </si>
  <si>
    <t>Coryphella nobilis</t>
  </si>
  <si>
    <t>Coryphella sp.</t>
  </si>
  <si>
    <t>Coryphella verrucosa</t>
  </si>
  <si>
    <t>Cuthona concinna</t>
  </si>
  <si>
    <t>Cuthona hiemalis</t>
  </si>
  <si>
    <t>Cuthona marisalbi</t>
  </si>
  <si>
    <t>Precuthona chrysanthema</t>
  </si>
  <si>
    <t>Hydractinia monocarpa</t>
  </si>
  <si>
    <t>Trinchesia viridis</t>
  </si>
  <si>
    <t>Dendronotus dalli</t>
  </si>
  <si>
    <t>Dendronotus frondosus</t>
  </si>
  <si>
    <t>Dendronotus robustus</t>
  </si>
  <si>
    <t>Dendronotus sp.</t>
  </si>
  <si>
    <t>Eubranchus exiguus</t>
  </si>
  <si>
    <t>Eubranchus odhneri</t>
  </si>
  <si>
    <t>Amaura candida</t>
  </si>
  <si>
    <t>Menesto truncatula</t>
  </si>
  <si>
    <t>Amauropsis islandica</t>
  </si>
  <si>
    <t>Halitholus yoldiaearcticae</t>
  </si>
  <si>
    <t>Cryptonatica clausa</t>
  </si>
  <si>
    <t>Lunatia pallida</t>
  </si>
  <si>
    <t>Pseudopolynices nanus</t>
  </si>
  <si>
    <t>Ariadnaria borealis</t>
  </si>
  <si>
    <t>Trichotropis herzenshteini</t>
  </si>
  <si>
    <t>Marsenina glabra</t>
  </si>
  <si>
    <t>Velutina plicatilis</t>
  </si>
  <si>
    <t>Velutina sp.</t>
  </si>
  <si>
    <t>Velutina undata</t>
  </si>
  <si>
    <t>Velutina velutina</t>
  </si>
  <si>
    <t>Perigonimus roseus</t>
  </si>
  <si>
    <t>Astyris rosacea</t>
  </si>
  <si>
    <t>Boreotrophon clathratus</t>
  </si>
  <si>
    <t>Boreotrophon truncatus</t>
  </si>
  <si>
    <t>Buccinum angulosum</t>
  </si>
  <si>
    <t>Buccinum ciliatum</t>
  </si>
  <si>
    <t>Buccinum cyaneum</t>
  </si>
  <si>
    <t>Buccinum elatior</t>
  </si>
  <si>
    <t>Buccinum glaciale</t>
  </si>
  <si>
    <t>Buccinum maltzani</t>
  </si>
  <si>
    <t>Buccinum sp.</t>
  </si>
  <si>
    <t>Rathkea octopunctata</t>
  </si>
  <si>
    <t>Buccinum undatum</t>
  </si>
  <si>
    <t>Colus latericeus</t>
  </si>
  <si>
    <t>Neptunea communis</t>
  </si>
  <si>
    <t>Neptunea despecta</t>
  </si>
  <si>
    <t>Neptunea ventricosa</t>
  </si>
  <si>
    <t>Nucella lapillus</t>
  </si>
  <si>
    <t>Boreoscala groenlandica</t>
  </si>
  <si>
    <t>Cryonella minutum</t>
  </si>
  <si>
    <t>Frigidalvania janmayeni</t>
  </si>
  <si>
    <t>Mohrensternia interrupta</t>
  </si>
  <si>
    <t>Calicella syringa</t>
  </si>
  <si>
    <t>Punctulum minutum</t>
  </si>
  <si>
    <t>Punctulum wyvillethomsoni</t>
  </si>
  <si>
    <t>Epheria crassior</t>
  </si>
  <si>
    <t>Jeffreysina globularis</t>
  </si>
  <si>
    <t>Littorina fabalis</t>
  </si>
  <si>
    <t>Campanulina lacerata</t>
  </si>
  <si>
    <t>Littorina saxatilis</t>
  </si>
  <si>
    <t>Littorina sp.</t>
  </si>
  <si>
    <t>Onoba jeffreysii</t>
  </si>
  <si>
    <t>Onoba verrilli</t>
  </si>
  <si>
    <t>Setia latior</t>
  </si>
  <si>
    <t>Skeneopsis planorbis</t>
  </si>
  <si>
    <t>Cylichna alba</t>
  </si>
  <si>
    <t>Cylichna occulta</t>
  </si>
  <si>
    <t>Campanulina sp.</t>
  </si>
  <si>
    <t>Scaphander punctostriatus</t>
  </si>
  <si>
    <t>Diaphana hyalina</t>
  </si>
  <si>
    <t>Diaphana minuta</t>
  </si>
  <si>
    <t>Diaphana quadrata</t>
  </si>
  <si>
    <t>Omalogyra atomus</t>
  </si>
  <si>
    <t>Philine lima</t>
  </si>
  <si>
    <t>Phillinidae</t>
  </si>
  <si>
    <t>Retusa pertenuis</t>
  </si>
  <si>
    <t>Erginus rubellus</t>
  </si>
  <si>
    <t>Tectura virginea</t>
  </si>
  <si>
    <t>Diphasia rosacea</t>
  </si>
  <si>
    <t>Cuspidella mertensi</t>
  </si>
  <si>
    <t>Testudinalia tesselata</t>
  </si>
  <si>
    <t>Lepeta coeca</t>
  </si>
  <si>
    <t>Ganesa laevigata</t>
  </si>
  <si>
    <t>Margarites costalis</t>
  </si>
  <si>
    <t>Margarites groenlandicus</t>
  </si>
  <si>
    <t>Margarites helicinus</t>
  </si>
  <si>
    <t>Margarites olivaceus</t>
  </si>
  <si>
    <t>Margarites sp.</t>
  </si>
  <si>
    <t>Margarites vahlii</t>
  </si>
  <si>
    <t>Solariella obscura</t>
  </si>
  <si>
    <t>Lafoeina maxima</t>
  </si>
  <si>
    <t>Solariella varicosa</t>
  </si>
  <si>
    <t>Moelleria costulata</t>
  </si>
  <si>
    <t>Gastropoda</t>
  </si>
  <si>
    <t>Problacmaea rubella</t>
  </si>
  <si>
    <t>Hemiaclis glabra</t>
  </si>
  <si>
    <t>Laskeya arctica</t>
  </si>
  <si>
    <t>Limapontia cocksi</t>
  </si>
  <si>
    <t>Neactaeonina umbilicalis</t>
  </si>
  <si>
    <t>Nudibranchia</t>
  </si>
  <si>
    <t>Opisthobranchia</t>
  </si>
  <si>
    <t>Opercularella nana</t>
  </si>
  <si>
    <t>Puncturella noachina</t>
  </si>
  <si>
    <t>Turritellopsis acicula</t>
  </si>
  <si>
    <t>Arctica islandica</t>
  </si>
  <si>
    <t>Clinocardium ciliatum</t>
  </si>
  <si>
    <t>Serripes groenlandicus</t>
  </si>
  <si>
    <t>Elliptica elliptica</t>
  </si>
  <si>
    <t>Nicania montagui</t>
  </si>
  <si>
    <t>Tridonta borealis</t>
  </si>
  <si>
    <t>Axinopsida orbiculata</t>
  </si>
  <si>
    <t>Stegopoma plicatile</t>
  </si>
  <si>
    <t>Thyasira equalis</t>
  </si>
  <si>
    <t>Thyasira gouldi</t>
  </si>
  <si>
    <t>Hiatella arctica</t>
  </si>
  <si>
    <t>Hiatella pholadis</t>
  </si>
  <si>
    <t>Panomya arctica</t>
  </si>
  <si>
    <t>Macoma calcarea</t>
  </si>
  <si>
    <t>Macoma sp.</t>
  </si>
  <si>
    <t>Macoma torelli</t>
  </si>
  <si>
    <t>Montacuta maltzani</t>
  </si>
  <si>
    <t>Tetrapoma quadridentata</t>
  </si>
  <si>
    <t>Mya sp.</t>
  </si>
  <si>
    <t>Mya truncata</t>
  </si>
  <si>
    <t>Turtonia minuta</t>
  </si>
  <si>
    <t>Zirfaea crispata</t>
  </si>
  <si>
    <t>Bivalvia</t>
  </si>
  <si>
    <t>Chlamys islandica</t>
  </si>
  <si>
    <t>Heteranomia aculeata</t>
  </si>
  <si>
    <t>Heteranomia squamula</t>
  </si>
  <si>
    <t>Crenella decussata</t>
  </si>
  <si>
    <t>Campanularia groenlandica</t>
  </si>
  <si>
    <t>Dacrydium vitreum</t>
  </si>
  <si>
    <t>Modiolus modiolus</t>
  </si>
  <si>
    <t>Musculus corrugatus</t>
  </si>
  <si>
    <t>Musculus discors</t>
  </si>
  <si>
    <t>Musculus laevigatus</t>
  </si>
  <si>
    <t>Musculus niger</t>
  </si>
  <si>
    <t>Musculus sp.</t>
  </si>
  <si>
    <t>Leionucula bellotii</t>
  </si>
  <si>
    <t>Nuculana minuta</t>
  </si>
  <si>
    <t>Campanularia integra</t>
  </si>
  <si>
    <t>Nuculana pernula</t>
  </si>
  <si>
    <t>Nuculana sp.</t>
  </si>
  <si>
    <t>Portlandia arctica</t>
  </si>
  <si>
    <t>Portlandia aestuariorum</t>
  </si>
  <si>
    <t>Yoldia hyperborea</t>
  </si>
  <si>
    <t>Yoldiella nana</t>
  </si>
  <si>
    <t>Yoldiella intermedia</t>
  </si>
  <si>
    <t>Lyonsia arenosa</t>
  </si>
  <si>
    <t>Lyonsiella abyssicola</t>
  </si>
  <si>
    <t>Pandora glacialis</t>
  </si>
  <si>
    <t>Campanularia sp.</t>
  </si>
  <si>
    <t>Thracia myopsis</t>
  </si>
  <si>
    <t>Chaetodematiformes</t>
  </si>
  <si>
    <t>Caudofoveatus tetradens</t>
  </si>
  <si>
    <t>Crystallophrisson intermediu</t>
  </si>
  <si>
    <t>Crystallophrisson luitfriedi</t>
  </si>
  <si>
    <t>Crystallophrisson marinae</t>
  </si>
  <si>
    <t>Crystallophrisson nitens</t>
  </si>
  <si>
    <t>Chaetoderma pellucida</t>
  </si>
  <si>
    <t>Stenosemus albus</t>
  </si>
  <si>
    <t>Tonicella marmorea</t>
  </si>
  <si>
    <t>Campanularia volubilis</t>
  </si>
  <si>
    <t>Tonicella rubra</t>
  </si>
  <si>
    <t>Alcyonidium gelatinosum</t>
  </si>
  <si>
    <t>Alcyonidium hirsutum</t>
  </si>
  <si>
    <t>Alcyonidium mamillatum</t>
  </si>
  <si>
    <t>Alcyonidium mytili</t>
  </si>
  <si>
    <t>Alcyonidium sp.</t>
  </si>
  <si>
    <t>Bowerbankia arctica</t>
  </si>
  <si>
    <t>Bowerbankia imbricata</t>
  </si>
  <si>
    <t>Buskia nitens</t>
  </si>
  <si>
    <t>Flustrella corniculata</t>
  </si>
  <si>
    <t>Campanulariidae</t>
  </si>
  <si>
    <t>Flustrella hispida</t>
  </si>
  <si>
    <t>Valkeria uva</t>
  </si>
  <si>
    <t>Amphiblestrum septentrionali</t>
  </si>
  <si>
    <t>Callopora aurita</t>
  </si>
  <si>
    <t>Callopora craticula</t>
  </si>
  <si>
    <t>Callopora lata</t>
  </si>
  <si>
    <t>Callopora lineata</t>
  </si>
  <si>
    <t>Callopora smitti</t>
  </si>
  <si>
    <t>Callopora whiteavesi</t>
  </si>
  <si>
    <t>Cauloramphus cybaeformis</t>
  </si>
  <si>
    <t>Dynamena operculata</t>
  </si>
  <si>
    <t>Gonothyrea longissima</t>
  </si>
  <si>
    <t>Cauloramphus intermedius</t>
  </si>
  <si>
    <t>Cauloramphus spiniferum</t>
  </si>
  <si>
    <t>Doryporella spathulifera</t>
  </si>
  <si>
    <t>Electra crustulenta</t>
  </si>
  <si>
    <t>Electra pilosa</t>
  </si>
  <si>
    <t>Flustra foliacea</t>
  </si>
  <si>
    <t>Flustra membranaceotruncata</t>
  </si>
  <si>
    <t>Flustra seculifrons</t>
  </si>
  <si>
    <t>Tegella armifera</t>
  </si>
  <si>
    <t>Tegella nigrans</t>
  </si>
  <si>
    <t>Gonothyrea loveni</t>
  </si>
  <si>
    <t>Tegella spitzbergensis</t>
  </si>
  <si>
    <t>Bugulopsis peachi</t>
  </si>
  <si>
    <t>Caberia ellisi</t>
  </si>
  <si>
    <t>Scrupocellaria arctica</t>
  </si>
  <si>
    <t>Scrupocellaria minor</t>
  </si>
  <si>
    <t>Scrupocellaria scabra</t>
  </si>
  <si>
    <t>Tricelaria ternata</t>
  </si>
  <si>
    <t>Tricellaria gracilis</t>
  </si>
  <si>
    <t>Tricellaria sp.</t>
  </si>
  <si>
    <t>Cellepora canaliculata</t>
  </si>
  <si>
    <t>Obelia flexuosa</t>
  </si>
  <si>
    <t>Cellepora nodulosa</t>
  </si>
  <si>
    <t>Cellepora surcularis</t>
  </si>
  <si>
    <t>Cellepora ventricosa</t>
  </si>
  <si>
    <t>Cribrillina annulata</t>
  </si>
  <si>
    <t>Cribrillina spitzbergensis</t>
  </si>
  <si>
    <t>Cylindroporella tubulosa</t>
  </si>
  <si>
    <t>Dendrobeania fruticosa</t>
  </si>
  <si>
    <t>Dendrobeania murrayana</t>
  </si>
  <si>
    <t>Dendrobeania pseudomurrayana</t>
  </si>
  <si>
    <t>Dendrobeania sp.</t>
  </si>
  <si>
    <t>Obelia geniculata</t>
  </si>
  <si>
    <t>Escharella dijmphnae</t>
  </si>
  <si>
    <t>Escharella immersa</t>
  </si>
  <si>
    <t>Escharella microstoma</t>
  </si>
  <si>
    <t>Escharella ventricosa</t>
  </si>
  <si>
    <t>Escharella sp.</t>
  </si>
  <si>
    <t>Escharelloides spinulifera</t>
  </si>
  <si>
    <t>Escharopsis rosacea</t>
  </si>
  <si>
    <t>Escharopsis sarsi</t>
  </si>
  <si>
    <t>Rhamphostomella costata</t>
  </si>
  <si>
    <t>Rhamphostomella ovata</t>
  </si>
  <si>
    <t>Obelia sp.</t>
  </si>
  <si>
    <t>Rhamphostomella radiatula</t>
  </si>
  <si>
    <t>Rhamphostomella scabra</t>
  </si>
  <si>
    <t>Rhamphostomella sp.</t>
  </si>
  <si>
    <t>Rhamphostomella spinigera</t>
  </si>
  <si>
    <t>Eucratea loricata</t>
  </si>
  <si>
    <t>Hippodiplosia borealis</t>
  </si>
  <si>
    <t>Hippodiplosia harmswordi</t>
  </si>
  <si>
    <t>Hippodiplosia obesa</t>
  </si>
  <si>
    <t>Hippodiplosia retuculatopunc</t>
  </si>
  <si>
    <t>Hippodiplosia ussowi</t>
  </si>
  <si>
    <t>Verticillina verticillata</t>
  </si>
  <si>
    <t>Schizoporella auriculata</t>
  </si>
  <si>
    <t>Schizoporella biaperta</t>
  </si>
  <si>
    <t>Schizoporella bispinosa</t>
  </si>
  <si>
    <t>Schizoporella crustacea</t>
  </si>
  <si>
    <t>Schizoporella elmwoodiae</t>
  </si>
  <si>
    <t>Schizoporella inserta</t>
  </si>
  <si>
    <t>Schizoporella magniporata</t>
  </si>
  <si>
    <t>Schizoporella porifera</t>
  </si>
  <si>
    <t>Hippoponella hippopus</t>
  </si>
  <si>
    <t>Lepraliella contigua</t>
  </si>
  <si>
    <t>Clava multicornis</t>
  </si>
  <si>
    <t>Hippothoa divaricata</t>
  </si>
  <si>
    <t>Hippothoa expansa</t>
  </si>
  <si>
    <t>Hippothoa hyalina</t>
  </si>
  <si>
    <t>Leieschara coarctata</t>
  </si>
  <si>
    <t>Microporella ciliata</t>
  </si>
  <si>
    <t>Porella acutirostris</t>
  </si>
  <si>
    <t>Porella compressa</t>
  </si>
  <si>
    <t>Porella groenlandica</t>
  </si>
  <si>
    <t>Porella minuta</t>
  </si>
  <si>
    <t>Porella pinceps</t>
  </si>
  <si>
    <t>Corymorpha aurata</t>
  </si>
  <si>
    <t>Porella proboscidea</t>
  </si>
  <si>
    <t>Porella saccarta</t>
  </si>
  <si>
    <t>Porella smitti</t>
  </si>
  <si>
    <t>Porella sp.</t>
  </si>
  <si>
    <t>Porella struma</t>
  </si>
  <si>
    <t>Smittina concinna</t>
  </si>
  <si>
    <t>Smittina glaciata</t>
  </si>
  <si>
    <t>Smittina majuscula</t>
  </si>
  <si>
    <t>Smittina minuscula</t>
  </si>
  <si>
    <t>Smittina mucronata</t>
  </si>
  <si>
    <t>Corymorpha gracilis</t>
  </si>
  <si>
    <t>Smittina peristomata</t>
  </si>
  <si>
    <t>Smittina pseudoacutirostris</t>
  </si>
  <si>
    <t>Smittina rigida</t>
  </si>
  <si>
    <t>Umbonula arctica</t>
  </si>
  <si>
    <t>Reteropora cellulosa</t>
  </si>
  <si>
    <t>Stomachetosella cruenta</t>
  </si>
  <si>
    <t>Stomachetosella producta</t>
  </si>
  <si>
    <t>Stomachetosella sinuosa</t>
  </si>
  <si>
    <t>Gymnolaemata</t>
  </si>
  <si>
    <t>Crisia eburnea</t>
  </si>
  <si>
    <t>Corymorpha sp.</t>
  </si>
  <si>
    <t>Crisia eburneodenticulata</t>
  </si>
  <si>
    <t>Crisia klugei</t>
  </si>
  <si>
    <t>Crisiella producta</t>
  </si>
  <si>
    <t>Filicrisia geniculata</t>
  </si>
  <si>
    <t>Filicrisia smitti</t>
  </si>
  <si>
    <t>Filicrisia sp.</t>
  </si>
  <si>
    <t>Diplosolen obelia</t>
  </si>
  <si>
    <t>Lichenopora hispida</t>
  </si>
  <si>
    <t>Lichenopora verrucata</t>
  </si>
  <si>
    <t>Oncosoecia diastoporoides</t>
  </si>
  <si>
    <t>Tubularia indivisa</t>
  </si>
  <si>
    <t>Oncosoecia dilatans</t>
  </si>
  <si>
    <t>Oncosoecia polygonalis</t>
  </si>
  <si>
    <t>Proboscina fecunda</t>
  </si>
  <si>
    <t>Tubulipora aperta</t>
  </si>
  <si>
    <t>Tubulipora flabellaris</t>
  </si>
  <si>
    <t>Tubulipora fructuosa</t>
  </si>
  <si>
    <t>Tubulipora marisalbi</t>
  </si>
  <si>
    <t>Tubulipora minuta</t>
  </si>
  <si>
    <t>Tubulipora sp.</t>
  </si>
  <si>
    <t>Ammotrypane aulogaster</t>
  </si>
  <si>
    <t>Tubularia larynx</t>
  </si>
  <si>
    <t>Euzonus flabelligerus</t>
  </si>
  <si>
    <t>Ophelia acuminata</t>
  </si>
  <si>
    <t>Ophelia limacina</t>
  </si>
  <si>
    <t>Ophelia sp.</t>
  </si>
  <si>
    <t>Travisia forbesi</t>
  </si>
  <si>
    <t>Axiothella catenata</t>
  </si>
  <si>
    <t>Clymenura borealis</t>
  </si>
  <si>
    <t>Clymenura polaris</t>
  </si>
  <si>
    <t>Leiochone polaris</t>
  </si>
  <si>
    <t>Tubularia simplex</t>
  </si>
  <si>
    <t>Maldane sarsi</t>
  </si>
  <si>
    <t>Maldanidae</t>
  </si>
  <si>
    <t>Nicomache lumbricalis</t>
  </si>
  <si>
    <t>Nicomache minor</t>
  </si>
  <si>
    <t>Nicomache quadrispina</t>
  </si>
  <si>
    <t>Nicomache sp.</t>
  </si>
  <si>
    <t>Petaloproctus tenuis</t>
  </si>
  <si>
    <t>Praxillella praetermissa</t>
  </si>
  <si>
    <t>Praxillura longissima</t>
  </si>
  <si>
    <t>Rhodine gracilor</t>
  </si>
  <si>
    <t>Tubularia sp.</t>
  </si>
  <si>
    <t>Rhodine loveni</t>
  </si>
  <si>
    <t>Rhodine sp.</t>
  </si>
  <si>
    <t>Brada granulata</t>
  </si>
  <si>
    <t>Brada sp.</t>
  </si>
  <si>
    <t>Brada villosa</t>
  </si>
  <si>
    <t>Diplocirrus longisetosus</t>
  </si>
  <si>
    <t>Diplocirrus sp.</t>
  </si>
  <si>
    <t>Flabelligera affinis</t>
  </si>
  <si>
    <t>Flabelligera buskii</t>
  </si>
  <si>
    <t>Chloraemidae</t>
  </si>
  <si>
    <t>Coryne loveni</t>
  </si>
  <si>
    <t>Pherusa plumosa</t>
  </si>
  <si>
    <t>Stylarioides plumosa</t>
  </si>
  <si>
    <t>Capitellidae</t>
  </si>
  <si>
    <t>Heteromastus filiformis</t>
  </si>
  <si>
    <t>Notomastus latericeus</t>
  </si>
  <si>
    <t>Myriochele oculata</t>
  </si>
  <si>
    <t>Myriochele heeri</t>
  </si>
  <si>
    <t>Owenia fusiformis</t>
  </si>
  <si>
    <t>Scalibregma inflatum</t>
  </si>
  <si>
    <t>Coryne tubulosa</t>
  </si>
  <si>
    <t>Scalibregma robusta</t>
  </si>
  <si>
    <t>Scalibregma sp.</t>
  </si>
  <si>
    <t>Ampharete acutifrons</t>
  </si>
  <si>
    <t>Ampharete arctica</t>
  </si>
  <si>
    <t>Ampharete finmarchica</t>
  </si>
  <si>
    <t>Ampharete goesi</t>
  </si>
  <si>
    <t>Ampharete lindstroemi</t>
  </si>
  <si>
    <t>Ampharete sp.</t>
  </si>
  <si>
    <t>Ampharete vega</t>
  </si>
  <si>
    <t>Ampharetidae</t>
  </si>
  <si>
    <t>Eudendrium annulatum</t>
  </si>
  <si>
    <t>Anobothrus gracilis</t>
  </si>
  <si>
    <t>Lysippe labiata</t>
  </si>
  <si>
    <t>Melinna cristata</t>
  </si>
  <si>
    <t>Melinna elisabethae</t>
  </si>
  <si>
    <t>Sabellides borealis</t>
  </si>
  <si>
    <t>Amphitrite affinis</t>
  </si>
  <si>
    <t>Amphitrite cirrata</t>
  </si>
  <si>
    <t>Amphitrite figulus</t>
  </si>
  <si>
    <t>Amphitrite sp.</t>
  </si>
  <si>
    <t>Artacama proboscidea</t>
  </si>
  <si>
    <t>Eudendrium capillare</t>
  </si>
  <si>
    <t>Lanassa venusta</t>
  </si>
  <si>
    <t>Laphania boecki</t>
  </si>
  <si>
    <t>Leaena abranchiata</t>
  </si>
  <si>
    <t>Neoamphitrite affinis</t>
  </si>
  <si>
    <t>Neoamphitrite figulis</t>
  </si>
  <si>
    <t>Neoamphitrite sp.</t>
  </si>
  <si>
    <t>Nicolea zostericola</t>
  </si>
  <si>
    <t>Paramphitrite birulai</t>
  </si>
  <si>
    <t>Pista cristata</t>
  </si>
  <si>
    <t>Pista flexuosa</t>
  </si>
  <si>
    <t>Eudendrium rameum</t>
  </si>
  <si>
    <t>Pista maculata</t>
  </si>
  <si>
    <t>Polycirrus medusa</t>
  </si>
  <si>
    <t>Proclea graffi</t>
  </si>
  <si>
    <t>Proclea malmgreni</t>
  </si>
  <si>
    <t>Terebella hessli</t>
  </si>
  <si>
    <t>Terebellidae</t>
  </si>
  <si>
    <t>Thelepus canalabus</t>
  </si>
  <si>
    <t>Thelepus cincinatus</t>
  </si>
  <si>
    <t>Thelepus sp.</t>
  </si>
  <si>
    <t>Pectinaria granulata</t>
  </si>
  <si>
    <t>Filellum serpens</t>
  </si>
  <si>
    <t>Pectinaria hyperborea</t>
  </si>
  <si>
    <t>Pectinaria koreni</t>
  </si>
  <si>
    <t>Terebellides stroemi</t>
  </si>
  <si>
    <t>Trichobranchus glacialis</t>
  </si>
  <si>
    <t>Antinoella badia</t>
  </si>
  <si>
    <t>Antinoella sarsi</t>
  </si>
  <si>
    <t>Antinoella sp.</t>
  </si>
  <si>
    <t>Aphroditidae</t>
  </si>
  <si>
    <t>Eunoe nodosa</t>
  </si>
  <si>
    <t>Gattyana cirrosa</t>
  </si>
  <si>
    <t>Hydrallmania falcata</t>
  </si>
  <si>
    <t>Grammaria abietina</t>
  </si>
  <si>
    <t>Harmothoe imbricata</t>
  </si>
  <si>
    <t>Harmothoe rarispina</t>
  </si>
  <si>
    <t>Lagisca extenuata</t>
  </si>
  <si>
    <t>Lepidonotus squamatus</t>
  </si>
  <si>
    <t>Melaenis loveni</t>
  </si>
  <si>
    <t>Nemidia torelli</t>
  </si>
  <si>
    <t>Pholoe minuta</t>
  </si>
  <si>
    <t>Eteone barbata</t>
  </si>
  <si>
    <t>Eteone flava</t>
  </si>
  <si>
    <t>Grammaria immersa</t>
  </si>
  <si>
    <t>Eteone sp.</t>
  </si>
  <si>
    <t>Eulalia bilineata</t>
  </si>
  <si>
    <t>Eulalia viridis</t>
  </si>
  <si>
    <t>Eumida sanguinea</t>
  </si>
  <si>
    <t>Mystides sp.</t>
  </si>
  <si>
    <t>Paranaitis wahlbergii</t>
  </si>
  <si>
    <t>Phyllodoce citrina</t>
  </si>
  <si>
    <t>Phyllodoce groenlandica</t>
  </si>
  <si>
    <t>Phyllodoce mucosa</t>
  </si>
  <si>
    <t>Grammaria sp.</t>
  </si>
  <si>
    <t>Phyllodoce sp.</t>
  </si>
  <si>
    <t>Phyllodocidae</t>
  </si>
  <si>
    <t>Glycera capitata</t>
  </si>
  <si>
    <t>Aonides paucibranchiata</t>
  </si>
  <si>
    <t>Boccaridia sp.</t>
  </si>
  <si>
    <t>Laonice cirrata</t>
  </si>
  <si>
    <t>Laonice sp.</t>
  </si>
  <si>
    <t>Marenzelleria annencovae</t>
  </si>
  <si>
    <t>Marenzelleria wireni</t>
  </si>
  <si>
    <t>Spio sp.</t>
  </si>
  <si>
    <t>Lafoea dumosa</t>
  </si>
  <si>
    <t>Spio arctica</t>
  </si>
  <si>
    <t>Spio filicornis</t>
  </si>
  <si>
    <t>Minuspio cirrifera</t>
  </si>
  <si>
    <t>Polydora caullery</t>
  </si>
  <si>
    <t>Polydora cillata</t>
  </si>
  <si>
    <t>Polydora coeca</t>
  </si>
  <si>
    <t>Polydora flava</t>
  </si>
  <si>
    <t>Polydora quadrilobata</t>
  </si>
  <si>
    <t>Polydora sp.</t>
  </si>
  <si>
    <t>Lafoea fruticosa</t>
  </si>
  <si>
    <t>Spionidae</t>
  </si>
  <si>
    <t>Apistobranchus tullbergi</t>
  </si>
  <si>
    <t>Aricia norvegica</t>
  </si>
  <si>
    <t>Nainereis quadricuspida</t>
  </si>
  <si>
    <t>Scoloplos armiger</t>
  </si>
  <si>
    <t>Aricidea jeffreysii</t>
  </si>
  <si>
    <t>Aricidea nolani</t>
  </si>
  <si>
    <t>Aricidea sp.</t>
  </si>
  <si>
    <t>Aricidea uschakovi</t>
  </si>
  <si>
    <t>Lafoea grandis</t>
  </si>
  <si>
    <t>Paraonis lyra</t>
  </si>
  <si>
    <t>Chaetozone setosa</t>
  </si>
  <si>
    <t>Cirratulidae</t>
  </si>
  <si>
    <t>Cirratulus cirratus</t>
  </si>
  <si>
    <t>Cossura longicirrata</t>
  </si>
  <si>
    <t>Dodecaceria concharum</t>
  </si>
  <si>
    <t>Tharyx marioni</t>
  </si>
  <si>
    <t>Autolitus sp.</t>
  </si>
  <si>
    <t>Autolytus prismaticus</t>
  </si>
  <si>
    <t>Autolytus prolifer</t>
  </si>
  <si>
    <t>Lafoea pocillum</t>
  </si>
  <si>
    <t>Autolytus verrilli</t>
  </si>
  <si>
    <t>Eusyllis blomstrandi</t>
  </si>
  <si>
    <t>Eusyllis lamelligera</t>
  </si>
  <si>
    <t>Eusyllis monilicornis</t>
  </si>
  <si>
    <t>Eusyllis sp.</t>
  </si>
  <si>
    <t>Exogone sp.</t>
  </si>
  <si>
    <t>Pterosyllis finmarchica</t>
  </si>
  <si>
    <t>Pterosyllis formosa</t>
  </si>
  <si>
    <t>Sphaerosyllis erinaceus</t>
  </si>
  <si>
    <t>Syllidae</t>
  </si>
  <si>
    <t>Lafoea sp.</t>
  </si>
  <si>
    <t>Syllides longicirrata</t>
  </si>
  <si>
    <t>Syllis armillaris</t>
  </si>
  <si>
    <t>Syllis fasciata</t>
  </si>
  <si>
    <t>Syllis monilicornis</t>
  </si>
  <si>
    <t>Syllis oerstedi</t>
  </si>
  <si>
    <t>Syllis sp.</t>
  </si>
  <si>
    <t>Ephesia gracilis</t>
  </si>
  <si>
    <t>Sphaerodorum minutum</t>
  </si>
  <si>
    <t>Microphthalmus sczelkowii</t>
  </si>
  <si>
    <t>Neiromira punctata</t>
  </si>
  <si>
    <t>Halecium beani</t>
  </si>
  <si>
    <t>Nephthys ciliata</t>
  </si>
  <si>
    <t>Nephthys coeca</t>
  </si>
  <si>
    <t>Nephthys longisetosa</t>
  </si>
  <si>
    <t>Nephthys malmgreni</t>
  </si>
  <si>
    <t>Nephthys paradoxa</t>
  </si>
  <si>
    <t>Nephthys sp.</t>
  </si>
  <si>
    <t>Nereis pelagica</t>
  </si>
  <si>
    <t>Nereis sp.</t>
  </si>
  <si>
    <t>Halecium corrugatum</t>
  </si>
  <si>
    <t>Branchiomma bombyx</t>
  </si>
  <si>
    <t>Chone dueneri</t>
  </si>
  <si>
    <t>Chone infundibuliformis</t>
  </si>
  <si>
    <t>Chone sp.</t>
  </si>
  <si>
    <t>Dasychone infarcta</t>
  </si>
  <si>
    <t>Euchone analis</t>
  </si>
  <si>
    <t>Euchone sp.</t>
  </si>
  <si>
    <t>Fabricia sabella</t>
  </si>
  <si>
    <t>Sabellidae</t>
  </si>
  <si>
    <t>Sertularella gigantea</t>
  </si>
  <si>
    <t>Halecium groenlandicum</t>
  </si>
  <si>
    <t>Laonome kroyeri</t>
  </si>
  <si>
    <t>Manayunkia sp.</t>
  </si>
  <si>
    <t>Potamilla neglecta</t>
  </si>
  <si>
    <t>Potamilla reniformis</t>
  </si>
  <si>
    <t>Sabella fabricii</t>
  </si>
  <si>
    <t>Chitinopoma fabricii</t>
  </si>
  <si>
    <t>Circeus spirillum</t>
  </si>
  <si>
    <t>Paradexiospira sp.</t>
  </si>
  <si>
    <t>Paradexiospira Paradexiospira sp.</t>
  </si>
  <si>
    <t>Paradexiospira cancellata</t>
  </si>
  <si>
    <t>Halecium labrosum</t>
  </si>
  <si>
    <t>Paradexiospira violacea</t>
  </si>
  <si>
    <t>Paradexiospira vitrea</t>
  </si>
  <si>
    <t>Serpulidae</t>
  </si>
  <si>
    <t>Spirorbis armoricana</t>
  </si>
  <si>
    <t>Spirorbis sp.</t>
  </si>
  <si>
    <t>Spirorbis spirorbis</t>
  </si>
  <si>
    <t>Dorvillea kastjani</t>
  </si>
  <si>
    <t>Paranoella nordica</t>
  </si>
  <si>
    <t>Pileolaria sp.</t>
  </si>
  <si>
    <t>Halecium marsupiale</t>
  </si>
  <si>
    <t>Schistomeringos coeca</t>
  </si>
  <si>
    <t>Tauberia gracilis</t>
  </si>
  <si>
    <t>Eunice sp.</t>
  </si>
  <si>
    <t>Eunicidae</t>
  </si>
  <si>
    <t>Lumbrinereis fragilis</t>
  </si>
  <si>
    <t>Ophryotrocha irinae</t>
  </si>
  <si>
    <t>Limnodrillus sp.</t>
  </si>
  <si>
    <t>Halecium mirabile</t>
  </si>
  <si>
    <t>Lumbricillus sp.</t>
  </si>
  <si>
    <t>Oligochaeta</t>
  </si>
  <si>
    <t>Hyrudinea</t>
  </si>
  <si>
    <t>Polychaeta (fragmenta)</t>
  </si>
  <si>
    <t>Amphiura sundevalli</t>
  </si>
  <si>
    <t>Gorgonocephlus arcticus</t>
  </si>
  <si>
    <t>Ophiacantha bidentata</t>
  </si>
  <si>
    <t>Ophiopholis aculeata</t>
  </si>
  <si>
    <t>Halecium muricatum</t>
  </si>
  <si>
    <t>Ophiura robusta</t>
  </si>
  <si>
    <t>Ophiura sarsi</t>
  </si>
  <si>
    <t>Stegophiura nodosa</t>
  </si>
  <si>
    <t>Asterias rubens</t>
  </si>
  <si>
    <t>Urasterias lincki</t>
  </si>
  <si>
    <t>Asteroidea</t>
  </si>
  <si>
    <t>Crossaster papposus</t>
  </si>
  <si>
    <t>Solaster endeca</t>
  </si>
  <si>
    <t>Henricia sp.</t>
  </si>
  <si>
    <t>Pteraster militaris</t>
  </si>
  <si>
    <t>Halecium tenellum</t>
  </si>
  <si>
    <t>Pteraster pulvillus</t>
  </si>
  <si>
    <t>Poraniomorpha tumida</t>
  </si>
  <si>
    <t>Chiridota pellucida</t>
  </si>
  <si>
    <t>Pentamera calcigera</t>
  </si>
  <si>
    <t>Cucumaria frondosa</t>
  </si>
  <si>
    <t>Dendrochiridota</t>
  </si>
  <si>
    <t>Psolus phantapus</t>
  </si>
  <si>
    <t>Ekmania barthi</t>
  </si>
  <si>
    <t>Strongylocentrotus pallidus</t>
  </si>
  <si>
    <t>Artemisina arcigera</t>
  </si>
  <si>
    <t>Helecium beani</t>
  </si>
  <si>
    <t>Microciona armata</t>
  </si>
  <si>
    <t>Microciona heterotoxa</t>
  </si>
  <si>
    <t>Plocamia ambigua</t>
  </si>
  <si>
    <t>Plocamia arctica</t>
  </si>
  <si>
    <t>Crellomima imparidens</t>
  </si>
  <si>
    <t>Hymedesmia irregularis</t>
  </si>
  <si>
    <t>Hymedesmia longurius</t>
  </si>
  <si>
    <t>Hymedesmia occulata</t>
  </si>
  <si>
    <t>Hymeraphya stellifera</t>
  </si>
  <si>
    <t>Ectyodoryx derjugini</t>
  </si>
  <si>
    <t>Leptoloda</t>
  </si>
  <si>
    <t>Iophon piceus</t>
  </si>
  <si>
    <t>Myxilla brunnea</t>
  </si>
  <si>
    <t>Myxilla incrustans</t>
  </si>
  <si>
    <t>Esperiopsis typichela</t>
  </si>
  <si>
    <t>Homoeodictya palmata</t>
  </si>
  <si>
    <t>Mycale lobata</t>
  </si>
  <si>
    <t>Mycale thaumatochela</t>
  </si>
  <si>
    <t>Dysidea fragilis</t>
  </si>
  <si>
    <t>Gellius angulatus</t>
  </si>
  <si>
    <t>Gellius primitivus</t>
  </si>
  <si>
    <t>Monobrachium parasitum</t>
  </si>
  <si>
    <t>Haliclona aqueductus</t>
  </si>
  <si>
    <t>Haliclona cinerea</t>
  </si>
  <si>
    <t>Haliclona gracilis</t>
  </si>
  <si>
    <t>Haliclona rossica</t>
  </si>
  <si>
    <t>Haliclona schmidti</t>
  </si>
  <si>
    <t>Halichondria gracilis</t>
  </si>
  <si>
    <t>Halichondria panicea</t>
  </si>
  <si>
    <t>Halichondria sitiens</t>
  </si>
  <si>
    <t>Phakellia cribrosa</t>
  </si>
  <si>
    <t>Polymastia mammilaris</t>
  </si>
  <si>
    <t>Boreohydra symplex</t>
  </si>
  <si>
    <t>Polymastia robusta</t>
  </si>
  <si>
    <t>Sphaerotylus borealis</t>
  </si>
  <si>
    <t>Tricostemma hemispherica</t>
  </si>
  <si>
    <t>Vosmaeria crustacea</t>
  </si>
  <si>
    <t>Suberitas domuncula</t>
  </si>
  <si>
    <t>Suberitas sp.</t>
  </si>
  <si>
    <t>Suberites montiniger</t>
  </si>
  <si>
    <t>Tethya aurantium</t>
  </si>
  <si>
    <t>Sycon ciliatum</t>
  </si>
  <si>
    <t>Sertularella rugosa</t>
  </si>
  <si>
    <t>Actiniaria</t>
  </si>
  <si>
    <t>Sycon raphanus</t>
  </si>
  <si>
    <t>Tedania suctoria</t>
  </si>
  <si>
    <t>Boltenia echinata</t>
  </si>
  <si>
    <t>Hyalocintia piriformis</t>
  </si>
  <si>
    <t>Microcosmus glacialis</t>
  </si>
  <si>
    <t>Botrylloides schlosseri</t>
  </si>
  <si>
    <t>Molgula arctica</t>
  </si>
  <si>
    <t>Molgula crystallina</t>
  </si>
  <si>
    <t>Molgula cytrina</t>
  </si>
  <si>
    <t>Molgula grifithsii</t>
  </si>
  <si>
    <t>Molgula retortiformis</t>
  </si>
  <si>
    <t>Molgula sp.</t>
  </si>
  <si>
    <t>Styela coriacea</t>
  </si>
  <si>
    <t>Styela rustica</t>
  </si>
  <si>
    <t>Dendrodoa grossularia</t>
  </si>
  <si>
    <t>Cheliozoma macleyanum</t>
  </si>
  <si>
    <t>Didemnum roseum</t>
  </si>
  <si>
    <t>Synoicum pulmonaria</t>
  </si>
  <si>
    <t>Ascidiacea</t>
  </si>
  <si>
    <t>Bushiella quadriangularis</t>
  </si>
  <si>
    <t>Urticina felina</t>
  </si>
  <si>
    <t>Ewardiella carnea</t>
  </si>
  <si>
    <t>Hymeniaction gorbunovi</t>
  </si>
  <si>
    <t>Oscarella lobularis</t>
  </si>
  <si>
    <t>Golfingia margaritaceum</t>
  </si>
  <si>
    <t>Golfingia sp.</t>
  </si>
  <si>
    <t>Phascolosomatidae</t>
  </si>
  <si>
    <t>Sipunculoidea</t>
  </si>
  <si>
    <t>Halicriptus spinulosus</t>
  </si>
  <si>
    <t>Priapulida</t>
  </si>
  <si>
    <t>Priapulus caudatus</t>
  </si>
  <si>
    <t>Edwardsia sp.</t>
  </si>
  <si>
    <t>Hemithyris psittacea</t>
  </si>
  <si>
    <t>Kamptozoa</t>
  </si>
  <si>
    <t>Lineus sp.</t>
  </si>
  <si>
    <t>Nemertini</t>
  </si>
  <si>
    <t>Notoplana atomata</t>
  </si>
  <si>
    <t>Turbellaria</t>
  </si>
  <si>
    <t>Uteroporus sp.</t>
  </si>
  <si>
    <t>Saccoglossus mereschkowskii</t>
  </si>
  <si>
    <t>Acrosiphonia sp.</t>
  </si>
  <si>
    <t>Ceratocolex sp.</t>
  </si>
  <si>
    <t>Edwasiella carnea</t>
  </si>
  <si>
    <t>Cystoclonium aureum</t>
  </si>
  <si>
    <t>Cystoclonium purpurescens</t>
  </si>
  <si>
    <t>Eutora cristata</t>
  </si>
  <si>
    <t>Furcellaria fastigiota</t>
  </si>
  <si>
    <t>Kylinia virgatula</t>
  </si>
  <si>
    <t>Pantoneura baeri</t>
  </si>
  <si>
    <t>Phycodrys sp.</t>
  </si>
  <si>
    <t>Ptilota plumosa</t>
  </si>
  <si>
    <t>Rhodohorton purpurum</t>
  </si>
  <si>
    <t>Ahnfeltia plicata</t>
  </si>
  <si>
    <t>Milnedwasia polaris</t>
  </si>
  <si>
    <t>Phyllophora brodiaei</t>
  </si>
  <si>
    <t>Phyllophora interrupta</t>
  </si>
  <si>
    <t>Phyllophora sp.</t>
  </si>
  <si>
    <t>Antithamnion borealis</t>
  </si>
  <si>
    <t>Ceramium rubrum</t>
  </si>
  <si>
    <t>Ceramium sp.</t>
  </si>
  <si>
    <t>Odonthalia dentata</t>
  </si>
  <si>
    <t>Rhodomella litoralis</t>
  </si>
  <si>
    <t>Rhodomella sp.</t>
  </si>
  <si>
    <t>Rhodomella subfusca</t>
  </si>
  <si>
    <t>Paraedwardsia arenaria</t>
  </si>
  <si>
    <t>Corallina oficinalis</t>
  </si>
  <si>
    <t>Lithothamnion sp.</t>
  </si>
  <si>
    <t>Dumontia incrassata</t>
  </si>
  <si>
    <t>Halosaccion sp.</t>
  </si>
  <si>
    <t>Rhodymenia palmata</t>
  </si>
  <si>
    <t>Rhodophyllis dichotoma</t>
  </si>
  <si>
    <t>Dictyosiphon hyppuroides</t>
  </si>
  <si>
    <t>Polysiphonia arctica</t>
  </si>
  <si>
    <t>Polysiphonia nigrescens</t>
  </si>
  <si>
    <t>Halcampa arctica</t>
  </si>
  <si>
    <t>Polysiphonia urceolata</t>
  </si>
  <si>
    <t>Rhodomella licopodioides</t>
  </si>
  <si>
    <t>Rhodophyta</t>
  </si>
  <si>
    <t>Alaria esculenta</t>
  </si>
  <si>
    <t>Chorda filum</t>
  </si>
  <si>
    <t>Laminaria digitata</t>
  </si>
  <si>
    <t>Laminaria saccharina</t>
  </si>
  <si>
    <t>Chaetopteris plumosa</t>
  </si>
  <si>
    <t>Chordaria flagelliformis</t>
  </si>
  <si>
    <t>Mesogloia vermiculata</t>
  </si>
  <si>
    <t>Metridium senile</t>
  </si>
  <si>
    <t>Ralfsia verrucusa</t>
  </si>
  <si>
    <t>Desmarestia aculeata</t>
  </si>
  <si>
    <t>Dictyosiphon foeniculaceus</t>
  </si>
  <si>
    <t>Ectocarpus sp.</t>
  </si>
  <si>
    <t>Elachistea sp.</t>
  </si>
  <si>
    <t>Phyllitis fascia</t>
  </si>
  <si>
    <t>Scytosiphon sp.</t>
  </si>
  <si>
    <t>Ascophyllum nodosum</t>
  </si>
  <si>
    <t>Stomphia coccinea</t>
  </si>
  <si>
    <t>Fucus distichus</t>
  </si>
  <si>
    <t>Fucus inflatus</t>
  </si>
  <si>
    <t>Fucus serratus</t>
  </si>
  <si>
    <t>Pelvetia canaliculata</t>
  </si>
  <si>
    <t>Chaetomorpha melagonium</t>
  </si>
  <si>
    <t>Cladophora rupestris</t>
  </si>
  <si>
    <t>Rhizoclonium sp.</t>
  </si>
  <si>
    <t>Chaetomorpha sp.</t>
  </si>
  <si>
    <t>Manayunkia aestuarina</t>
  </si>
  <si>
    <t>Tabanidae</t>
  </si>
  <si>
    <t>ОН23_1</t>
  </si>
  <si>
    <t>Манылова</t>
  </si>
  <si>
    <t>Alexeeva_onega25.pdf(14)</t>
  </si>
  <si>
    <t>ОН23_2</t>
  </si>
  <si>
    <t>ОН23_3</t>
  </si>
  <si>
    <t>Alexeeva_onega25.pdf(16)</t>
  </si>
  <si>
    <t>ОН24_2</t>
  </si>
  <si>
    <t>Alexeeva_onega25.pdf(15)</t>
  </si>
  <si>
    <t>ОН24_1</t>
  </si>
  <si>
    <t>Ilea zosterifolia</t>
  </si>
  <si>
    <t>ОН24_3</t>
  </si>
  <si>
    <t>Alexeeva_onega25.pdf(15-16)</t>
  </si>
  <si>
    <t>ОН25_1</t>
  </si>
  <si>
    <t>ОН25_2</t>
  </si>
  <si>
    <t>ОН25_3</t>
  </si>
  <si>
    <t>Alexeeva_onega25.pdf(13)</t>
  </si>
  <si>
    <t>ОН31_3</t>
  </si>
  <si>
    <t>Petrov_onega25.pdf(2-3)</t>
  </si>
  <si>
    <t>Nematoda</t>
  </si>
  <si>
    <t>ОН31_1</t>
  </si>
  <si>
    <t>Petrov_onega25.pdf(3-4)</t>
  </si>
  <si>
    <t>Hydrobia sp.</t>
  </si>
  <si>
    <t>ОН31_2</t>
  </si>
  <si>
    <t>Petrov_onega25.pdf(4)</t>
  </si>
  <si>
    <t>ОН32_2</t>
  </si>
  <si>
    <t>Efimov_onega25.pdf(6)</t>
  </si>
  <si>
    <t>ОН34_1</t>
  </si>
  <si>
    <t>Efimov_onega25.pdf(3-6)</t>
  </si>
  <si>
    <t>Alexeeva_onega25.pdf(12), PoloskinA-1_01.jpg, фауна с сита 0.5 просуммирована</t>
  </si>
  <si>
    <t>Alexeeva_onega25.pdf(12-13), PoloskinA-1_01.jpg, фауна с сита 0.5 просуммирована,  рассчетные значения, суммарно 713x2,025</t>
  </si>
  <si>
    <t>Alexeeva_onega25.pdf(12-13), PoloskinA-1_01.jpg, фауна с сита 0.5 просуммирована, рассчетные значения, суммарно 713x2,025</t>
  </si>
  <si>
    <t>Alexeeva_onega25.pdf(11), Poloskin-2_01.jpg, (0.5)</t>
  </si>
  <si>
    <t>Alexeeva_onega25.pdf(11), Poloskin-2_01.jpg, (0.5), рассчетные значения, суммарно 339x3,462</t>
  </si>
  <si>
    <t>Alexeeva_onega25.pdf(11), Poloskin-2_01.jpg, (0.5), рассчетные значения, суммарно 339x3,463</t>
  </si>
  <si>
    <t>Alexeeva_onega25.pdf(12), Poloskin-2_01.jpg, (0.5)</t>
  </si>
  <si>
    <t>Alexeeva_onega25.pdf(9-10), Poloskin-2_02.jpg, (0.5)</t>
  </si>
  <si>
    <t>Alexeeva_onega25.pdf(9-10), Poloskin-2_02.jpg, (0.5), рассчетные значения, суммарно 1262x4,129</t>
  </si>
  <si>
    <t>Alexeeva_onega25.pdf(10-11), Poloskin-2_02.jpg, (0.5)</t>
  </si>
  <si>
    <t>Alexeeva_onega25.pdf(11), Poloskin-2_02.jpg, (0.5), рассчетные значения, суммарно 669x3,524</t>
  </si>
  <si>
    <t>Alexeeva_onega25.pdf(10), Poloskin-2_06.jpg, (0.5)</t>
  </si>
  <si>
    <t>Alexeeva_onega25.pdf(10), Poloskin-2_06.jpg, (0.5), рассчетные значения, суммарно 894x5,528</t>
  </si>
  <si>
    <t>Alexeeva_onega25.pdf(10), Poloskin-2_06.jpg, (0.5) возможен перенос с сита</t>
  </si>
  <si>
    <t>Alexeeva_onega25.pdf(9),  Poloskin-2_06.jpg, (0.5)</t>
  </si>
  <si>
    <t>Alexeeva_onega25.pdf(9), Poloskin-2_06.jpg, (0.5), рассчетные значения, суммарно 515x1,266</t>
  </si>
  <si>
    <t>Alexeeva_onega25.pdf(8), Poloskin-2_07.jpg, (0.5)</t>
  </si>
  <si>
    <t>Alexeeva_onega25.pdf(8), Poloskin-2_07.jpg, (0.5), рассчетные значения, суммарно 805x2,303</t>
  </si>
  <si>
    <t>ОН19_1</t>
  </si>
  <si>
    <t>av-dop.pdf(17)</t>
  </si>
  <si>
    <t>ОН8_1</t>
  </si>
  <si>
    <t>ОН16_1</t>
  </si>
  <si>
    <t>ОН17_1</t>
  </si>
  <si>
    <t>av-dop.pdf</t>
  </si>
  <si>
    <t>av-dop</t>
  </si>
  <si>
    <t>Microspio</t>
  </si>
  <si>
    <t>сито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</si>
</sst>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0" borderId="4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5" fillId="0" borderId="0" xfId="0" applyFont="1">
      <alignment vertical="center"/>
    </xf>
    <xf numFmtId="0" fontId="5" fillId="0" borderId="7" xfId="0" applyFont="1" applyBorder="1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  <xf numFmtId="0" fontId="1" fillId="0" borderId="0" xfId="0" applyFo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</xdr:row>
      <xdr:rowOff>165100</xdr:rowOff>
    </xdr:from>
    <xdr:to>
      <xdr:col>6</xdr:col>
      <xdr:colOff>349250</xdr:colOff>
      <xdr:row>10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00050" y="349250"/>
          <a:ext cx="3606800" cy="166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ru-RU" altLang="en-US" sz="1100"/>
            <a:t>Для водорослей, в случае отметки в пробах указывается минимальная масса - 0,001 г.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1</xdr:row>
      <xdr:rowOff>63500</xdr:rowOff>
    </xdr:from>
    <xdr:to>
      <xdr:col>7</xdr:col>
      <xdr:colOff>514350</xdr:colOff>
      <xdr:row>16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93700" y="247650"/>
          <a:ext cx="4387850" cy="288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ru-RU" altLang="en-US" sz="1100"/>
            <a:t>Поскольку численность гидробий была очень высока, для выяснения численности отдельных видов (</a:t>
          </a:r>
          <a:r>
            <a:rPr lang="en-US" altLang="ru-RU" sz="1100"/>
            <a:t>Peringia ulvae </a:t>
          </a:r>
          <a:r>
            <a:rPr lang="ru-RU" altLang="en-US" sz="1100"/>
            <a:t>и </a:t>
          </a:r>
          <a:r>
            <a:rPr lang="en-US" altLang="ru-RU" sz="1100"/>
            <a:t>Ecrobia ventrosa)</a:t>
          </a:r>
          <a:r>
            <a:rPr lang="ru-RU" altLang="en-US" sz="1100"/>
            <a:t> делали подвыборки, в которых считали соотношения видов. Рассчетное количество особей отдельных видов, а также их рассчетную биомассу вычисляли, исходя из формулы:</a:t>
          </a:r>
        </a:p>
        <a:p>
          <a:pPr algn="l"/>
          <a:r>
            <a:rPr lang="en-US" altLang="ru-RU" sz="1100"/>
            <a:t>(</a:t>
          </a:r>
          <a:r>
            <a:rPr lang="ru-RU" altLang="en-US" sz="1100"/>
            <a:t>пример для рассчета количества </a:t>
          </a:r>
          <a:r>
            <a:rPr lang="en-US" altLang="ru-RU" sz="1100"/>
            <a:t>Peringia ulvae</a:t>
          </a:r>
          <a:r>
            <a:rPr lang="ru-RU" altLang="en-US" sz="1100"/>
            <a:t>)</a:t>
          </a:r>
        </a:p>
        <a:p>
          <a:pPr algn="l"/>
          <a:endParaRPr lang="ru-RU" altLang="en-US" sz="1100"/>
        </a:p>
        <a:p>
          <a:pPr algn="l"/>
          <a:endParaRPr lang="ru-RU" altLang="en-US" sz="1100"/>
        </a:p>
        <a:p>
          <a:pPr algn="l"/>
          <a:endParaRPr lang="ru-RU" altLang="en-US" sz="1100"/>
        </a:p>
        <a:p>
          <a:pPr algn="l"/>
          <a:r>
            <a:rPr lang="ru-RU" altLang="en-US" sz="1100"/>
            <a:t> где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P</a:t>
          </a:r>
          <a:r>
            <a:rPr lang="ru-RU" altLang="en-US" sz="1100" baseline="-25000">
              <a:solidFill>
                <a:schemeClr val="tx1"/>
              </a:solidFill>
              <a:uFillTx/>
            </a:rPr>
            <a:t>расс</a:t>
          </a:r>
          <a:r>
            <a:rPr lang="en-US" altLang="ru-RU" sz="1100"/>
            <a:t> </a:t>
          </a:r>
          <a:r>
            <a:rPr lang="ru-RU" altLang="en-US" sz="1100"/>
            <a:t>-</a:t>
          </a:r>
          <a:r>
            <a:rPr lang="en-US" altLang="ru-RU" sz="1100"/>
            <a:t> </a:t>
          </a:r>
          <a:r>
            <a:rPr lang="ru-RU" altLang="en-US" sz="1100"/>
            <a:t>рассчетное количество </a:t>
          </a:r>
          <a:r>
            <a:rPr lang="en-US" altLang="ru-RU" sz="1100"/>
            <a:t>Peringia ulvae</a:t>
          </a:r>
          <a:r>
            <a:rPr lang="ru-RU" altLang="en-US" sz="1100"/>
            <a:t>, </a:t>
          </a:r>
          <a:r>
            <a:rPr lang="en-US" altLang="ru-RU" sz="1100"/>
            <a:t>N</a:t>
          </a:r>
          <a:r>
            <a:rPr lang="ru-RU" altLang="en-US" sz="1100" baseline="-25000">
              <a:solidFill>
                <a:schemeClr val="tx1"/>
              </a:solidFill>
              <a:uFillTx/>
            </a:rPr>
            <a:t>общ</a:t>
          </a:r>
          <a:r>
            <a:rPr lang="ru-RU" altLang="en-US" sz="1100"/>
            <a:t> - суммарное количество гидробий обоих видов в пробе без учета выборки,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P</a:t>
          </a:r>
          <a:r>
            <a:rPr lang="en-US" altLang="ru-RU" sz="1100"/>
            <a:t> </a:t>
          </a:r>
          <a:r>
            <a:rPr lang="ru-RU" altLang="en-US" sz="1100"/>
            <a:t>и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E</a:t>
          </a:r>
          <a:r>
            <a:rPr lang="en-US" altLang="ru-RU" sz="1100"/>
            <a:t> - </a:t>
          </a:r>
          <a:r>
            <a:rPr lang="ru-RU" altLang="en-US" sz="1100"/>
            <a:t>количество </a:t>
          </a:r>
          <a:r>
            <a:rPr lang="en-US" altLang="ru-RU" sz="1100"/>
            <a:t>P. ulvae </a:t>
          </a:r>
          <a:r>
            <a:rPr lang="ru-RU" altLang="en-US" sz="1100"/>
            <a:t>и </a:t>
          </a:r>
          <a:r>
            <a:rPr lang="en-US" altLang="ru-RU" sz="1100"/>
            <a:t>E. ventrosa </a:t>
          </a:r>
          <a:r>
            <a:rPr lang="ru-RU" altLang="en-US" sz="1100"/>
            <a:t>в выборке соответственно. Аналогично вычислялась биомасса видов. В случае, если выборок было несколько за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P</a:t>
          </a:r>
          <a:r>
            <a:rPr lang="en-US" altLang="ru-RU" sz="1100"/>
            <a:t> </a:t>
          </a:r>
          <a:r>
            <a:rPr lang="ru-RU" altLang="en-US" sz="1100"/>
            <a:t>и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E</a:t>
          </a:r>
          <a:r>
            <a:rPr lang="en-US" altLang="ru-RU" sz="1100"/>
            <a:t> </a:t>
          </a:r>
          <a:r>
            <a:rPr lang="ru-RU" altLang="en-US" sz="1100"/>
            <a:t>принималась суммированная для двух выборок численность</a:t>
          </a:r>
        </a:p>
      </xdr:txBody>
    </xdr:sp>
    <xdr:clientData/>
  </xdr:twoCellAnchor>
  <xdr:oneCellAnchor>
    <xdr:from>
      <xdr:col>2</xdr:col>
      <xdr:colOff>242570</xdr:colOff>
      <xdr:row>7</xdr:row>
      <xdr:rowOff>121920</xdr:rowOff>
    </xdr:from>
    <xdr:ext cx="2308225" cy="44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 Box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1461770" y="1420495"/>
              <a:ext cx="2308225" cy="4406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𝑁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𝑃</m:t>
                        </m:r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расс</m:t>
                        </m:r>
                      </m:sub>
                    </m:sSub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общ</m:t>
                            </m:r>
                          </m:sub>
                        </m:sSub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 + (</m:t>
                        </m:r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𝑃</m:t>
                            </m:r>
                          </m:sub>
                        </m:sSub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+ </m:t>
                        </m:r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𝐸</m:t>
                            </m:r>
                          </m:sub>
                        </m:sSub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))× </m:t>
                        </m:r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𝑃</m:t>
                            </m:r>
                          </m:sub>
                        </m:sSub>
                      </m:num>
                      <m:den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𝑃</m:t>
                            </m:r>
                          </m:sub>
                        </m:sSub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+ </m:t>
                        </m:r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𝐸</m:t>
                            </m:r>
                          </m:sub>
                        </m:sSub>
                        <m: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 xmlns:r="http://schemas.openxmlformats.org/officeDocument/2006/relationships">
        <xdr:sp>
          <xdr:nvSpPr>
            <xdr:cNvPr id="3" name="Text Box 2"/>
            <xdr:cNvSpPr txBox="1"/>
          </xdr:nvSpPr>
          <xdr:spPr>
            <a:xfrm>
              <a:off x="1461770" y="1420495"/>
              <a:ext cx="2308225" cy="4406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𝑁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расс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𝑁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общ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+ (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+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𝐸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))×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+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𝐸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&#1083;&#1101;&#1084;&#1073;\base_OP%20(2).xlsx" TargetMode="External"/><Relationship Id="rId1" Type="http://schemas.openxmlformats.org/officeDocument/2006/relationships/externalLinkPath" Target="base_OP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ннотация"/>
      <sheetName val="stations"/>
      <sheetName val="NB"/>
      <sheetName val="size"/>
      <sheetName val="species_list"/>
    </sheetNames>
    <sheetDataSet>
      <sheetData sheetId="0"/>
      <sheetData sheetId="1"/>
      <sheetData sheetId="2"/>
      <sheetData sheetId="3"/>
      <sheetData sheetId="4">
        <row r="2">
          <cell r="A2" t="str">
            <v>Abietinaria abietina</v>
          </cell>
          <cell r="B2">
            <v>1</v>
          </cell>
        </row>
        <row r="3">
          <cell r="A3" t="str">
            <v>Abietinaria filicula</v>
          </cell>
          <cell r="B3">
            <v>2</v>
          </cell>
        </row>
        <row r="4">
          <cell r="A4" t="str">
            <v>Acanthonotozoma rusanovae</v>
          </cell>
          <cell r="B4">
            <v>105</v>
          </cell>
        </row>
        <row r="5">
          <cell r="A5" t="str">
            <v>Acanthonotozoma serratum</v>
          </cell>
          <cell r="B5">
            <v>106</v>
          </cell>
        </row>
        <row r="6">
          <cell r="A6" t="str">
            <v>Acanthostepheia malmgreni</v>
          </cell>
          <cell r="B6">
            <v>107</v>
          </cell>
        </row>
        <row r="7">
          <cell r="A7" t="str">
            <v>Acaulis primaris</v>
          </cell>
          <cell r="B7">
            <v>27</v>
          </cell>
        </row>
        <row r="8">
          <cell r="A8" t="str">
            <v>Aceroides latipes</v>
          </cell>
          <cell r="B8">
            <v>108</v>
          </cell>
        </row>
        <row r="9">
          <cell r="A9" t="str">
            <v>Acrosiphonia sp.</v>
          </cell>
          <cell r="B9">
            <v>938</v>
          </cell>
        </row>
        <row r="10">
          <cell r="A10" t="str">
            <v>Actiniaria</v>
          </cell>
          <cell r="B10">
            <v>90</v>
          </cell>
        </row>
        <row r="11">
          <cell r="A11" t="str">
            <v>Adalaria loveni</v>
          </cell>
          <cell r="B11">
            <v>290</v>
          </cell>
        </row>
        <row r="12">
          <cell r="A12" t="str">
            <v>Adalaria proxima</v>
          </cell>
          <cell r="B12">
            <v>291</v>
          </cell>
        </row>
        <row r="13">
          <cell r="A13" t="str">
            <v>Admete couthouyi</v>
          </cell>
          <cell r="B13">
            <v>298</v>
          </cell>
        </row>
        <row r="14">
          <cell r="A14" t="str">
            <v>Admete viridula</v>
          </cell>
          <cell r="B14">
            <v>1113</v>
          </cell>
        </row>
        <row r="15">
          <cell r="A15" t="str">
            <v>Aeolidia papillosa</v>
          </cell>
          <cell r="B15">
            <v>318</v>
          </cell>
        </row>
        <row r="16">
          <cell r="A16" t="str">
            <v>Ahnfeltia plicata</v>
          </cell>
          <cell r="B16">
            <v>949</v>
          </cell>
        </row>
        <row r="17">
          <cell r="A17" t="str">
            <v>Alaria esculenta</v>
          </cell>
          <cell r="B17">
            <v>973</v>
          </cell>
        </row>
        <row r="18">
          <cell r="A18" t="str">
            <v>Alcyonidium gelatinosum</v>
          </cell>
          <cell r="B18">
            <v>481</v>
          </cell>
        </row>
        <row r="19">
          <cell r="A19" t="str">
            <v>Alcyonidium hirsutum</v>
          </cell>
          <cell r="B19">
            <v>482</v>
          </cell>
        </row>
        <row r="20">
          <cell r="A20" t="str">
            <v>Alcyonidium mamillatum</v>
          </cell>
          <cell r="B20">
            <v>483</v>
          </cell>
        </row>
        <row r="21">
          <cell r="A21" t="str">
            <v>Alcyonidium mytili</v>
          </cell>
          <cell r="B21">
            <v>484</v>
          </cell>
        </row>
        <row r="22">
          <cell r="A22" t="str">
            <v>Alcyonidium sp.</v>
          </cell>
          <cell r="B22">
            <v>485</v>
          </cell>
        </row>
        <row r="23">
          <cell r="A23" t="str">
            <v>Alita virens</v>
          </cell>
          <cell r="B23">
            <v>789</v>
          </cell>
        </row>
        <row r="24">
          <cell r="A24" t="str">
            <v>Amaura candida</v>
          </cell>
          <cell r="B24">
            <v>337</v>
          </cell>
        </row>
        <row r="25">
          <cell r="A25" t="str">
            <v>Amauropsis islandica</v>
          </cell>
          <cell r="B25">
            <v>339</v>
          </cell>
        </row>
        <row r="26">
          <cell r="A26" t="str">
            <v>Ammothea borealis</v>
          </cell>
          <cell r="B26">
            <v>268</v>
          </cell>
        </row>
        <row r="27">
          <cell r="A27" t="str">
            <v>Ammotrypane aulogaster</v>
          </cell>
          <cell r="B27">
            <v>609</v>
          </cell>
        </row>
        <row r="28">
          <cell r="A28" t="str">
            <v>Ampelisca eschrichti</v>
          </cell>
          <cell r="B28">
            <v>129</v>
          </cell>
        </row>
        <row r="29">
          <cell r="A29" t="str">
            <v>Ampelisca gibba</v>
          </cell>
          <cell r="B29">
            <v>1093</v>
          </cell>
        </row>
        <row r="30">
          <cell r="A30" t="str">
            <v>Ampelisca macrocephala</v>
          </cell>
          <cell r="B30">
            <v>130</v>
          </cell>
        </row>
        <row r="31">
          <cell r="A31" t="str">
            <v>Ampeliscidae</v>
          </cell>
          <cell r="B31">
            <v>1120</v>
          </cell>
        </row>
        <row r="32">
          <cell r="A32" t="str">
            <v>Ampharete acutifrons</v>
          </cell>
          <cell r="B32">
            <v>652</v>
          </cell>
        </row>
        <row r="33">
          <cell r="A33" t="str">
            <v>Ampharete arctica</v>
          </cell>
          <cell r="B33">
            <v>653</v>
          </cell>
        </row>
        <row r="34">
          <cell r="A34" t="str">
            <v>Ampharete borealis</v>
          </cell>
          <cell r="B34">
            <v>1099</v>
          </cell>
        </row>
        <row r="35">
          <cell r="A35" t="str">
            <v>Ampharete finmarchica</v>
          </cell>
          <cell r="B35">
            <v>654</v>
          </cell>
        </row>
        <row r="36">
          <cell r="A36" t="str">
            <v>Ampharete goesi</v>
          </cell>
          <cell r="B36">
            <v>655</v>
          </cell>
        </row>
        <row r="37">
          <cell r="A37" t="str">
            <v>Ampharete lindstroemi</v>
          </cell>
          <cell r="B37">
            <v>656</v>
          </cell>
        </row>
        <row r="38">
          <cell r="A38" t="str">
            <v>Ampharete sp.</v>
          </cell>
          <cell r="B38">
            <v>657</v>
          </cell>
        </row>
        <row r="39">
          <cell r="A39" t="str">
            <v>Ampharete vega</v>
          </cell>
          <cell r="B39">
            <v>658</v>
          </cell>
        </row>
        <row r="40">
          <cell r="A40" t="str">
            <v>Ampharetidae</v>
          </cell>
          <cell r="B40">
            <v>659</v>
          </cell>
        </row>
        <row r="41">
          <cell r="A41" t="str">
            <v>Amphiblestrum septentrionali</v>
          </cell>
          <cell r="B41">
            <v>492</v>
          </cell>
        </row>
        <row r="42">
          <cell r="A42" t="str">
            <v>Amphipoda</v>
          </cell>
          <cell r="B42">
            <v>1014</v>
          </cell>
        </row>
        <row r="43">
          <cell r="A43" t="str">
            <v>Amphithoe rubricata</v>
          </cell>
          <cell r="B43">
            <v>133</v>
          </cell>
        </row>
        <row r="44">
          <cell r="A44" t="str">
            <v>Amphithopsis longicaudata</v>
          </cell>
          <cell r="B44">
            <v>1177</v>
          </cell>
        </row>
        <row r="45">
          <cell r="A45" t="str">
            <v>Amphitrite affinis</v>
          </cell>
          <cell r="B45">
            <v>665</v>
          </cell>
        </row>
        <row r="46">
          <cell r="A46" t="str">
            <v>Amphitrite cirrata</v>
          </cell>
          <cell r="B46">
            <v>666</v>
          </cell>
        </row>
        <row r="47">
          <cell r="A47" t="str">
            <v>Amphitrite figulus</v>
          </cell>
          <cell r="B47">
            <v>667</v>
          </cell>
        </row>
        <row r="48">
          <cell r="A48" t="str">
            <v>Amphitrite sp.</v>
          </cell>
          <cell r="B48">
            <v>668</v>
          </cell>
        </row>
        <row r="49">
          <cell r="A49" t="str">
            <v>Amphiura sundevalli</v>
          </cell>
          <cell r="B49">
            <v>836</v>
          </cell>
        </row>
        <row r="50">
          <cell r="A50" t="str">
            <v>Amphoriscus sp.</v>
          </cell>
          <cell r="B50">
            <v>1168</v>
          </cell>
        </row>
        <row r="51">
          <cell r="A51" t="str">
            <v>Ancula cristata</v>
          </cell>
          <cell r="B51">
            <v>295</v>
          </cell>
        </row>
        <row r="52">
          <cell r="A52" t="str">
            <v>Andaniella effloresans</v>
          </cell>
          <cell r="B52">
            <v>135</v>
          </cell>
        </row>
        <row r="53">
          <cell r="A53" t="str">
            <v>Andaniella pectinata</v>
          </cell>
          <cell r="B53">
            <v>134</v>
          </cell>
        </row>
        <row r="54">
          <cell r="A54" t="str">
            <v>Anisopoda</v>
          </cell>
          <cell r="B54">
            <v>229</v>
          </cell>
        </row>
        <row r="55">
          <cell r="A55" t="str">
            <v>Anobothrus gracilis</v>
          </cell>
          <cell r="B55">
            <v>660</v>
          </cell>
        </row>
        <row r="56">
          <cell r="A56" t="str">
            <v>Anonyx lilljeborgi</v>
          </cell>
          <cell r="B56">
            <v>139</v>
          </cell>
        </row>
        <row r="57">
          <cell r="A57" t="str">
            <v>Anonyx nugax</v>
          </cell>
          <cell r="B57">
            <v>140</v>
          </cell>
        </row>
        <row r="58">
          <cell r="A58" t="str">
            <v>Antinoella badia</v>
          </cell>
          <cell r="B58">
            <v>694</v>
          </cell>
        </row>
        <row r="59">
          <cell r="A59" t="str">
            <v>Antinoella sarsi</v>
          </cell>
          <cell r="B59">
            <v>695</v>
          </cell>
        </row>
        <row r="60">
          <cell r="A60" t="str">
            <v>Antinoella sp.</v>
          </cell>
          <cell r="B60">
            <v>696</v>
          </cell>
        </row>
        <row r="61">
          <cell r="A61" t="str">
            <v>Antithamnion borealis</v>
          </cell>
          <cell r="B61">
            <v>953</v>
          </cell>
        </row>
        <row r="62">
          <cell r="A62" t="str">
            <v>Aonides paucibranchiata</v>
          </cell>
          <cell r="B62">
            <v>723</v>
          </cell>
        </row>
        <row r="63">
          <cell r="A63" t="str">
            <v>Aoridae</v>
          </cell>
          <cell r="B63">
            <v>1122</v>
          </cell>
        </row>
        <row r="64">
          <cell r="A64" t="str">
            <v>Apherusa bispinosa</v>
          </cell>
          <cell r="B64">
            <v>154</v>
          </cell>
        </row>
        <row r="65">
          <cell r="A65" t="str">
            <v>Apherusa sp.</v>
          </cell>
          <cell r="B65">
            <v>155</v>
          </cell>
        </row>
        <row r="66">
          <cell r="A66" t="str">
            <v>Apherusa tridentata</v>
          </cell>
          <cell r="B66">
            <v>156</v>
          </cell>
        </row>
        <row r="67">
          <cell r="A67" t="str">
            <v>Aphroditidae</v>
          </cell>
          <cell r="B67">
            <v>697</v>
          </cell>
        </row>
        <row r="68">
          <cell r="A68" t="str">
            <v>Apistobranchus tullbergi</v>
          </cell>
          <cell r="B68">
            <v>742</v>
          </cell>
        </row>
        <row r="69">
          <cell r="A69" t="str">
            <v>Arctica islandica</v>
          </cell>
          <cell r="B69">
            <v>422</v>
          </cell>
        </row>
        <row r="70">
          <cell r="A70" t="str">
            <v>Arenicola marina</v>
          </cell>
          <cell r="B70">
            <v>615</v>
          </cell>
        </row>
        <row r="71">
          <cell r="A71" t="str">
            <v>Argissa hamatipes</v>
          </cell>
          <cell r="B71">
            <v>159</v>
          </cell>
        </row>
        <row r="72">
          <cell r="A72" t="str">
            <v>Ariadnaria borealis</v>
          </cell>
          <cell r="B72">
            <v>343</v>
          </cell>
        </row>
        <row r="73">
          <cell r="A73" t="str">
            <v>Aricia kupfferi</v>
          </cell>
          <cell r="B73">
            <v>1132</v>
          </cell>
        </row>
        <row r="74">
          <cell r="A74" t="str">
            <v>Aricia norvegica</v>
          </cell>
          <cell r="B74">
            <v>743</v>
          </cell>
        </row>
        <row r="75">
          <cell r="A75" t="str">
            <v>Aricidea jeffreysii</v>
          </cell>
          <cell r="B75">
            <v>746</v>
          </cell>
        </row>
        <row r="76">
          <cell r="A76" t="str">
            <v>Aricidea nolani</v>
          </cell>
          <cell r="B76">
            <v>747</v>
          </cell>
        </row>
        <row r="77">
          <cell r="A77" t="str">
            <v>Aricidea sp.</v>
          </cell>
          <cell r="B77">
            <v>748</v>
          </cell>
        </row>
        <row r="78">
          <cell r="A78" t="str">
            <v>Aricidea uschakovi</v>
          </cell>
          <cell r="B78">
            <v>749</v>
          </cell>
        </row>
        <row r="79">
          <cell r="A79" t="str">
            <v>Arrhis phyllonyx</v>
          </cell>
          <cell r="B79">
            <v>109</v>
          </cell>
        </row>
        <row r="80">
          <cell r="A80" t="str">
            <v>Arrhis sp.</v>
          </cell>
          <cell r="B80">
            <v>110</v>
          </cell>
        </row>
        <row r="81">
          <cell r="A81" t="str">
            <v>Artacama proboscidea</v>
          </cell>
          <cell r="B81">
            <v>669</v>
          </cell>
        </row>
        <row r="82">
          <cell r="A82" t="str">
            <v>Artemisina arcigera</v>
          </cell>
          <cell r="B82">
            <v>859</v>
          </cell>
        </row>
        <row r="83">
          <cell r="A83" t="str">
            <v>Ascidiacea</v>
          </cell>
          <cell r="B83">
            <v>918</v>
          </cell>
        </row>
        <row r="84">
          <cell r="A84" t="str">
            <v>Ascophyllum nodosum</v>
          </cell>
          <cell r="B84">
            <v>989</v>
          </cell>
        </row>
        <row r="85">
          <cell r="A85" t="str">
            <v>Astarte crenata</v>
          </cell>
          <cell r="B85">
            <v>1024</v>
          </cell>
        </row>
        <row r="86">
          <cell r="A86" t="str">
            <v>Astarte sulcata</v>
          </cell>
          <cell r="B86">
            <v>1025</v>
          </cell>
        </row>
        <row r="87">
          <cell r="A87" t="str">
            <v>Astartidae</v>
          </cell>
          <cell r="B87">
            <v>1071</v>
          </cell>
        </row>
        <row r="88">
          <cell r="A88" t="str">
            <v>Astartidae</v>
          </cell>
          <cell r="B88">
            <v>425</v>
          </cell>
        </row>
        <row r="89">
          <cell r="A89" t="str">
            <v>Asterias rubens</v>
          </cell>
          <cell r="B89">
            <v>843</v>
          </cell>
        </row>
        <row r="90">
          <cell r="A90" t="str">
            <v>Asteroidea</v>
          </cell>
          <cell r="B90">
            <v>845</v>
          </cell>
        </row>
        <row r="91">
          <cell r="A91" t="str">
            <v>Astyris rosacea</v>
          </cell>
          <cell r="B91">
            <v>350</v>
          </cell>
        </row>
        <row r="92">
          <cell r="A92" t="str">
            <v>Atylus carinatus</v>
          </cell>
          <cell r="B92">
            <v>160</v>
          </cell>
        </row>
        <row r="93">
          <cell r="A93" t="str">
            <v>Aulactinia stella</v>
          </cell>
          <cell r="B93">
            <v>91</v>
          </cell>
        </row>
        <row r="94">
          <cell r="A94" t="str">
            <v>Autolitus sp.</v>
          </cell>
          <cell r="B94">
            <v>757</v>
          </cell>
        </row>
        <row r="95">
          <cell r="A95" t="str">
            <v>Autolytus prismaticus</v>
          </cell>
          <cell r="B95">
            <v>758</v>
          </cell>
        </row>
        <row r="96">
          <cell r="A96" t="str">
            <v>Autolytus prolifer</v>
          </cell>
          <cell r="B96">
            <v>759</v>
          </cell>
        </row>
        <row r="97">
          <cell r="A97" t="str">
            <v>Autolytus verrilli</v>
          </cell>
          <cell r="B97">
            <v>760</v>
          </cell>
        </row>
        <row r="98">
          <cell r="A98" t="str">
            <v>Axinopsida orbiculata</v>
          </cell>
          <cell r="B98">
            <v>429</v>
          </cell>
        </row>
        <row r="99">
          <cell r="A99" t="str">
            <v>Axinulus ferruginosus</v>
          </cell>
          <cell r="B99">
            <v>1026</v>
          </cell>
        </row>
        <row r="100">
          <cell r="A100" t="str">
            <v>Axiothella catenata</v>
          </cell>
          <cell r="B100">
            <v>616</v>
          </cell>
        </row>
        <row r="101">
          <cell r="A101" t="str">
            <v>Balanus balanus</v>
          </cell>
          <cell r="B101">
            <v>231</v>
          </cell>
        </row>
        <row r="102">
          <cell r="A102" t="str">
            <v>Balanus crenatus</v>
          </cell>
          <cell r="B102">
            <v>232</v>
          </cell>
        </row>
        <row r="103">
          <cell r="A103" t="str">
            <v>Balanus sp.</v>
          </cell>
          <cell r="B103">
            <v>233</v>
          </cell>
        </row>
        <row r="104">
          <cell r="A104" t="str">
            <v>Bathymedon sp.</v>
          </cell>
          <cell r="B104">
            <v>111</v>
          </cell>
        </row>
        <row r="105">
          <cell r="A105" t="str">
            <v>Battersia arctica</v>
          </cell>
          <cell r="B105">
            <v>1169</v>
          </cell>
        </row>
        <row r="106">
          <cell r="A106" t="str">
            <v>Bivalvia</v>
          </cell>
          <cell r="B106">
            <v>445</v>
          </cell>
        </row>
        <row r="107">
          <cell r="A107" t="str">
            <v>Boccaridia sp.</v>
          </cell>
          <cell r="B107">
            <v>724</v>
          </cell>
        </row>
        <row r="108">
          <cell r="A108" t="str">
            <v>Boltenia echinata</v>
          </cell>
          <cell r="B108">
            <v>902</v>
          </cell>
        </row>
        <row r="109">
          <cell r="A109" t="str">
            <v>Boreohydra symplex</v>
          </cell>
          <cell r="B109">
            <v>89</v>
          </cell>
        </row>
        <row r="110">
          <cell r="A110" t="str">
            <v>Boreoscala groenlandica</v>
          </cell>
          <cell r="B110">
            <v>366</v>
          </cell>
        </row>
        <row r="111">
          <cell r="A111" t="str">
            <v>Boreotrophon clathratus</v>
          </cell>
          <cell r="B111">
            <v>351</v>
          </cell>
        </row>
        <row r="112">
          <cell r="A112" t="str">
            <v>Boreotrophon truncatus</v>
          </cell>
          <cell r="B112">
            <v>352</v>
          </cell>
        </row>
        <row r="113">
          <cell r="A113" t="str">
            <v>Botrylloides schlosseri</v>
          </cell>
          <cell r="B113">
            <v>905</v>
          </cell>
        </row>
        <row r="114">
          <cell r="A114" t="str">
            <v>Bougainvillia superciliaris</v>
          </cell>
          <cell r="B114">
            <v>29</v>
          </cell>
        </row>
        <row r="115">
          <cell r="A115" t="str">
            <v>Bowerbankia arctica</v>
          </cell>
          <cell r="B115">
            <v>486</v>
          </cell>
        </row>
        <row r="116">
          <cell r="A116" t="str">
            <v>Bowerbankia imbricata</v>
          </cell>
          <cell r="B116">
            <v>487</v>
          </cell>
        </row>
        <row r="117">
          <cell r="A117" t="str">
            <v>Brachidiastylis resima</v>
          </cell>
          <cell r="B117">
            <v>236</v>
          </cell>
        </row>
        <row r="118">
          <cell r="A118" t="str">
            <v>Brada granulata</v>
          </cell>
          <cell r="B118">
            <v>632</v>
          </cell>
        </row>
        <row r="119">
          <cell r="A119" t="str">
            <v>Brada inhabilis</v>
          </cell>
          <cell r="B119">
            <v>1091</v>
          </cell>
        </row>
        <row r="120">
          <cell r="A120" t="str">
            <v>Brada sp.</v>
          </cell>
          <cell r="B120">
            <v>633</v>
          </cell>
        </row>
        <row r="121">
          <cell r="A121" t="str">
            <v>Brada villosa</v>
          </cell>
          <cell r="B121">
            <v>634</v>
          </cell>
        </row>
        <row r="122">
          <cell r="A122" t="str">
            <v>Branchiomma arcticum</v>
          </cell>
          <cell r="B122">
            <v>1175</v>
          </cell>
        </row>
        <row r="123">
          <cell r="A123" t="str">
            <v>Branchiomma bombyx</v>
          </cell>
          <cell r="B123">
            <v>790</v>
          </cell>
        </row>
        <row r="124">
          <cell r="A124" t="str">
            <v>Bryozoa</v>
          </cell>
          <cell r="B124">
            <v>1012</v>
          </cell>
        </row>
        <row r="125">
          <cell r="A125" t="str">
            <v>Buccinum angulosum</v>
          </cell>
          <cell r="B125">
            <v>353</v>
          </cell>
        </row>
        <row r="126">
          <cell r="A126" t="str">
            <v>Buccinum ciliatum</v>
          </cell>
          <cell r="B126">
            <v>354</v>
          </cell>
        </row>
        <row r="127">
          <cell r="A127" t="str">
            <v>Buccinum cyaneum</v>
          </cell>
          <cell r="B127">
            <v>355</v>
          </cell>
        </row>
        <row r="128">
          <cell r="A128" t="str">
            <v>Buccinum elatior</v>
          </cell>
          <cell r="B128">
            <v>356</v>
          </cell>
        </row>
        <row r="129">
          <cell r="A129" t="str">
            <v>Buccinum glaciale</v>
          </cell>
          <cell r="B129">
            <v>357</v>
          </cell>
        </row>
        <row r="130">
          <cell r="A130" t="str">
            <v>Buccinum maltzani</v>
          </cell>
          <cell r="B130">
            <v>358</v>
          </cell>
        </row>
        <row r="131">
          <cell r="A131" t="str">
            <v>Buccinum sp.</v>
          </cell>
          <cell r="B131">
            <v>359</v>
          </cell>
        </row>
        <row r="132">
          <cell r="A132" t="str">
            <v>Buccinum undatum</v>
          </cell>
          <cell r="B132">
            <v>360</v>
          </cell>
        </row>
        <row r="133">
          <cell r="A133" t="str">
            <v>Bugulopsis peachi</v>
          </cell>
          <cell r="B133">
            <v>511</v>
          </cell>
        </row>
        <row r="134">
          <cell r="A134" t="str">
            <v>Bushiella quadriangularis</v>
          </cell>
          <cell r="B134">
            <v>919</v>
          </cell>
        </row>
        <row r="135">
          <cell r="A135" t="str">
            <v>Buskia nitens</v>
          </cell>
          <cell r="B135">
            <v>488</v>
          </cell>
        </row>
        <row r="136">
          <cell r="A136" t="str">
            <v>Byblis erythrops</v>
          </cell>
          <cell r="B136">
            <v>1027</v>
          </cell>
        </row>
        <row r="137">
          <cell r="A137" t="str">
            <v>Byblis gaimardi</v>
          </cell>
          <cell r="B137">
            <v>1028</v>
          </cell>
        </row>
        <row r="138">
          <cell r="A138" t="str">
            <v>Byblis sp.</v>
          </cell>
          <cell r="B138">
            <v>1058</v>
          </cell>
        </row>
        <row r="139">
          <cell r="A139" t="str">
            <v>Bylgides elegans</v>
          </cell>
          <cell r="B139">
            <v>1165</v>
          </cell>
        </row>
        <row r="140">
          <cell r="A140" t="str">
            <v>Bylgides groenlandicus</v>
          </cell>
          <cell r="B140">
            <v>1029</v>
          </cell>
        </row>
        <row r="141">
          <cell r="A141" t="str">
            <v>Caberia ellisi</v>
          </cell>
          <cell r="B141">
            <v>512</v>
          </cell>
        </row>
        <row r="142">
          <cell r="A142" t="str">
            <v>Cadlina laevis</v>
          </cell>
          <cell r="B142">
            <v>296</v>
          </cell>
        </row>
        <row r="143">
          <cell r="A143" t="str">
            <v>Calicella syringa</v>
          </cell>
          <cell r="B143">
            <v>37</v>
          </cell>
        </row>
        <row r="144">
          <cell r="A144" t="str">
            <v>Calliopiidae</v>
          </cell>
          <cell r="B144">
            <v>1125</v>
          </cell>
        </row>
        <row r="145">
          <cell r="A145" t="str">
            <v>Calliopius laeviusculus</v>
          </cell>
          <cell r="B145">
            <v>157</v>
          </cell>
        </row>
        <row r="146">
          <cell r="A146" t="str">
            <v>Callopora aurita</v>
          </cell>
          <cell r="B146">
            <v>493</v>
          </cell>
        </row>
        <row r="147">
          <cell r="A147" t="str">
            <v>Callopora craticula</v>
          </cell>
          <cell r="B147">
            <v>494</v>
          </cell>
        </row>
        <row r="148">
          <cell r="A148" t="str">
            <v>Callopora lata</v>
          </cell>
          <cell r="B148">
            <v>495</v>
          </cell>
        </row>
        <row r="149">
          <cell r="A149" t="str">
            <v>Callopora lineata</v>
          </cell>
          <cell r="B149">
            <v>496</v>
          </cell>
        </row>
        <row r="150">
          <cell r="A150" t="str">
            <v>Callopora smitti</v>
          </cell>
          <cell r="B150">
            <v>497</v>
          </cell>
        </row>
        <row r="151">
          <cell r="A151" t="str">
            <v>Callopora whiteavesi</v>
          </cell>
          <cell r="B151">
            <v>498</v>
          </cell>
        </row>
        <row r="152">
          <cell r="A152" t="str">
            <v>Campanularia groenlandica</v>
          </cell>
          <cell r="B152">
            <v>45</v>
          </cell>
        </row>
        <row r="153">
          <cell r="A153" t="str">
            <v>Campanularia integra</v>
          </cell>
          <cell r="B153">
            <v>46</v>
          </cell>
        </row>
        <row r="154">
          <cell r="A154" t="str">
            <v>Campanularia sp.</v>
          </cell>
          <cell r="B154">
            <v>47</v>
          </cell>
        </row>
        <row r="155">
          <cell r="A155" t="str">
            <v>Campanularia volubilis</v>
          </cell>
          <cell r="B155">
            <v>48</v>
          </cell>
        </row>
        <row r="156">
          <cell r="A156" t="str">
            <v>Campanulariidae</v>
          </cell>
          <cell r="B156">
            <v>49</v>
          </cell>
        </row>
        <row r="157">
          <cell r="A157" t="str">
            <v>Campanulina lacerata</v>
          </cell>
          <cell r="B157">
            <v>38</v>
          </cell>
        </row>
        <row r="158">
          <cell r="A158" t="str">
            <v>Campanulina sp.</v>
          </cell>
          <cell r="B158">
            <v>39</v>
          </cell>
        </row>
        <row r="159">
          <cell r="A159" t="str">
            <v>Campylaspis costata</v>
          </cell>
          <cell r="B159">
            <v>243</v>
          </cell>
        </row>
        <row r="160">
          <cell r="A160" t="str">
            <v>Campylaspis rubicunda</v>
          </cell>
          <cell r="B160">
            <v>244</v>
          </cell>
        </row>
        <row r="161">
          <cell r="A161" t="str">
            <v>Campylaspis sp.</v>
          </cell>
          <cell r="B161">
            <v>1057</v>
          </cell>
        </row>
        <row r="162">
          <cell r="A162" t="str">
            <v>Campylaspis umbensis</v>
          </cell>
          <cell r="B162">
            <v>245</v>
          </cell>
        </row>
        <row r="163">
          <cell r="A163" t="str">
            <v>Capitella capitata</v>
          </cell>
          <cell r="B163">
            <v>642</v>
          </cell>
        </row>
        <row r="164">
          <cell r="A164" t="str">
            <v>Capitellidae</v>
          </cell>
          <cell r="B164">
            <v>643</v>
          </cell>
        </row>
        <row r="165">
          <cell r="A165" t="str">
            <v>Caprella carina</v>
          </cell>
          <cell r="B165">
            <v>161</v>
          </cell>
        </row>
        <row r="166">
          <cell r="A166" t="str">
            <v>Caprella linearis</v>
          </cell>
          <cell r="B166">
            <v>162</v>
          </cell>
        </row>
        <row r="167">
          <cell r="A167" t="str">
            <v>Caprella sedovi</v>
          </cell>
          <cell r="B167">
            <v>1129</v>
          </cell>
        </row>
        <row r="168">
          <cell r="A168" t="str">
            <v>Caprella septemtrionalis</v>
          </cell>
          <cell r="B168">
            <v>163</v>
          </cell>
        </row>
        <row r="169">
          <cell r="A169" t="str">
            <v>Caprella sp.</v>
          </cell>
          <cell r="B169">
            <v>1106</v>
          </cell>
        </row>
        <row r="170">
          <cell r="A170" t="str">
            <v>Caudofoveatus tetradens</v>
          </cell>
          <cell r="B170">
            <v>472</v>
          </cell>
        </row>
        <row r="171">
          <cell r="A171" t="str">
            <v>Cauloramphus cybaeformis</v>
          </cell>
          <cell r="B171">
            <v>499</v>
          </cell>
        </row>
        <row r="172">
          <cell r="A172" t="str">
            <v>Cauloramphus intermedius</v>
          </cell>
          <cell r="B172">
            <v>500</v>
          </cell>
        </row>
        <row r="173">
          <cell r="A173" t="str">
            <v>Cauloramphus sp.</v>
          </cell>
          <cell r="B173">
            <v>1145</v>
          </cell>
        </row>
        <row r="174">
          <cell r="A174" t="str">
            <v>Cauloramphus spiniferum</v>
          </cell>
          <cell r="B174">
            <v>501</v>
          </cell>
        </row>
        <row r="175">
          <cell r="A175" t="str">
            <v>Cellepora canaliculata</v>
          </cell>
          <cell r="B175">
            <v>519</v>
          </cell>
        </row>
        <row r="176">
          <cell r="A176" t="str">
            <v>Cellepora nodulosa</v>
          </cell>
          <cell r="B176">
            <v>520</v>
          </cell>
        </row>
        <row r="177">
          <cell r="A177" t="str">
            <v>Cellepora surcularis</v>
          </cell>
          <cell r="B177">
            <v>521</v>
          </cell>
        </row>
        <row r="178">
          <cell r="A178" t="str">
            <v>Cellepora ventricosa</v>
          </cell>
          <cell r="B178">
            <v>522</v>
          </cell>
        </row>
        <row r="179">
          <cell r="A179" t="str">
            <v>Centromedon pumilus</v>
          </cell>
          <cell r="B179">
            <v>141</v>
          </cell>
        </row>
        <row r="180">
          <cell r="A180" t="str">
            <v>Ceramium rubrum</v>
          </cell>
          <cell r="B180">
            <v>954</v>
          </cell>
        </row>
        <row r="181">
          <cell r="A181" t="str">
            <v>Ceramium sp.</v>
          </cell>
          <cell r="B181">
            <v>955</v>
          </cell>
        </row>
        <row r="182">
          <cell r="A182" t="str">
            <v>Ceratocolex sp.</v>
          </cell>
          <cell r="B182">
            <v>939</v>
          </cell>
        </row>
        <row r="183">
          <cell r="A183" t="str">
            <v>Cerebratulus barentsi</v>
          </cell>
          <cell r="B183">
            <v>1146</v>
          </cell>
        </row>
        <row r="184">
          <cell r="A184" t="str">
            <v>Cerianthus lloydi</v>
          </cell>
          <cell r="B184">
            <v>100</v>
          </cell>
        </row>
        <row r="185">
          <cell r="A185" t="str">
            <v>Chaetodematiformes</v>
          </cell>
          <cell r="B185">
            <v>471</v>
          </cell>
        </row>
        <row r="186">
          <cell r="A186" t="str">
            <v>Chaetoderma pellucida</v>
          </cell>
          <cell r="B186">
            <v>477</v>
          </cell>
        </row>
        <row r="187">
          <cell r="A187" t="str">
            <v>Chaetomorpha melagonium</v>
          </cell>
          <cell r="B187">
            <v>995</v>
          </cell>
        </row>
        <row r="188">
          <cell r="A188" t="str">
            <v>Chaetomorpha sp.</v>
          </cell>
          <cell r="B188">
            <v>999</v>
          </cell>
        </row>
        <row r="189">
          <cell r="A189" t="str">
            <v>Chaetonymphon hirtum</v>
          </cell>
          <cell r="B189">
            <v>270</v>
          </cell>
        </row>
        <row r="190">
          <cell r="A190" t="str">
            <v>Chaetopteris plumosa</v>
          </cell>
          <cell r="B190">
            <v>977</v>
          </cell>
        </row>
        <row r="191">
          <cell r="A191" t="str">
            <v>Chaetozone setosa</v>
          </cell>
          <cell r="B191">
            <v>751</v>
          </cell>
        </row>
        <row r="192">
          <cell r="A192" t="str">
            <v>Cheliozoma macleyanum</v>
          </cell>
          <cell r="B192">
            <v>915</v>
          </cell>
        </row>
        <row r="193">
          <cell r="A193" t="str">
            <v>Chiridota pellucida</v>
          </cell>
          <cell r="B193">
            <v>852</v>
          </cell>
        </row>
        <row r="194">
          <cell r="A194" t="str">
            <v>Chironomidae</v>
          </cell>
          <cell r="B194">
            <v>281</v>
          </cell>
        </row>
        <row r="195">
          <cell r="A195" t="str">
            <v>Chironomus salinarius</v>
          </cell>
          <cell r="B195">
            <v>282</v>
          </cell>
        </row>
        <row r="196">
          <cell r="A196" t="str">
            <v>Chitinopoma fabricii</v>
          </cell>
          <cell r="B196">
            <v>805</v>
          </cell>
        </row>
        <row r="197">
          <cell r="A197" t="str">
            <v>Chlamylla atypica</v>
          </cell>
          <cell r="B197">
            <v>319</v>
          </cell>
        </row>
        <row r="198">
          <cell r="A198" t="str">
            <v>Chlamylla stimpsoni</v>
          </cell>
          <cell r="B198">
            <v>320</v>
          </cell>
        </row>
        <row r="199">
          <cell r="A199" t="str">
            <v>Chlamylla typica</v>
          </cell>
          <cell r="B199">
            <v>321</v>
          </cell>
        </row>
        <row r="200">
          <cell r="A200" t="str">
            <v>Chlamys islandica</v>
          </cell>
          <cell r="B200">
            <v>446</v>
          </cell>
        </row>
        <row r="201">
          <cell r="A201" t="str">
            <v>Chloraemidae</v>
          </cell>
          <cell r="B201">
            <v>639</v>
          </cell>
        </row>
        <row r="202">
          <cell r="A202" t="str">
            <v>Chlorophyta</v>
          </cell>
          <cell r="B202">
            <v>1003</v>
          </cell>
        </row>
        <row r="203">
          <cell r="A203" t="str">
            <v>Chone dueneri</v>
          </cell>
          <cell r="B203">
            <v>791</v>
          </cell>
        </row>
        <row r="204">
          <cell r="A204" t="str">
            <v>Chone infundibuliformis</v>
          </cell>
          <cell r="B204">
            <v>792</v>
          </cell>
        </row>
        <row r="205">
          <cell r="A205" t="str">
            <v>Chone sp.</v>
          </cell>
          <cell r="B205">
            <v>793</v>
          </cell>
        </row>
        <row r="206">
          <cell r="A206" t="str">
            <v>Chorda filum</v>
          </cell>
          <cell r="B206">
            <v>974</v>
          </cell>
        </row>
        <row r="207">
          <cell r="A207" t="str">
            <v>Chordaria flagelliformis</v>
          </cell>
          <cell r="B207">
            <v>978</v>
          </cell>
        </row>
        <row r="208">
          <cell r="A208" t="str">
            <v>Circeus spirillum</v>
          </cell>
          <cell r="B208">
            <v>806</v>
          </cell>
        </row>
        <row r="209">
          <cell r="A209" t="str">
            <v>Cirratulidae</v>
          </cell>
          <cell r="B209">
            <v>752</v>
          </cell>
        </row>
        <row r="210">
          <cell r="A210" t="str">
            <v>Cirratulus cirratus</v>
          </cell>
          <cell r="B210">
            <v>753</v>
          </cell>
        </row>
        <row r="211">
          <cell r="A211" t="str">
            <v>Cladophora rupestris</v>
          </cell>
          <cell r="B211">
            <v>997</v>
          </cell>
        </row>
        <row r="212">
          <cell r="A212" t="str">
            <v>Cladophora sericea</v>
          </cell>
          <cell r="B212">
            <v>996</v>
          </cell>
        </row>
        <row r="213">
          <cell r="A213" t="str">
            <v>Clathrina sp.</v>
          </cell>
          <cell r="B213">
            <v>1184</v>
          </cell>
        </row>
        <row r="214">
          <cell r="A214" t="str">
            <v>Clava multicornis</v>
          </cell>
          <cell r="B214">
            <v>56</v>
          </cell>
        </row>
        <row r="215">
          <cell r="A215" t="str">
            <v>Clinocardium ciliatum</v>
          </cell>
          <cell r="B215">
            <v>423</v>
          </cell>
        </row>
        <row r="216">
          <cell r="A216" t="str">
            <v>Clitellio arenarius</v>
          </cell>
          <cell r="B216">
            <v>826</v>
          </cell>
        </row>
        <row r="217">
          <cell r="A217" t="str">
            <v>Clymenura borealis</v>
          </cell>
          <cell r="B217">
            <v>617</v>
          </cell>
        </row>
        <row r="218">
          <cell r="A218" t="str">
            <v>Clymenura polaris</v>
          </cell>
          <cell r="B218">
            <v>618</v>
          </cell>
        </row>
        <row r="219">
          <cell r="A219" t="str">
            <v>Coelenterata</v>
          </cell>
          <cell r="B219">
            <v>103</v>
          </cell>
        </row>
        <row r="220">
          <cell r="A220" t="str">
            <v>Colus ebur</v>
          </cell>
          <cell r="B220">
            <v>1082</v>
          </cell>
        </row>
        <row r="221">
          <cell r="A221" t="str">
            <v>Colus latericeus</v>
          </cell>
          <cell r="B221">
            <v>361</v>
          </cell>
        </row>
        <row r="222">
          <cell r="A222" t="str">
            <v>Colus sabini</v>
          </cell>
          <cell r="B222">
            <v>1116</v>
          </cell>
        </row>
        <row r="223">
          <cell r="A223" t="str">
            <v>Corallina oficinalis</v>
          </cell>
          <cell r="B223">
            <v>960</v>
          </cell>
        </row>
        <row r="224">
          <cell r="A224" t="str">
            <v>Corophiidae</v>
          </cell>
          <cell r="B224">
            <v>164</v>
          </cell>
        </row>
        <row r="225">
          <cell r="A225" t="str">
            <v>Corophium bonelli</v>
          </cell>
          <cell r="B225">
            <v>165</v>
          </cell>
        </row>
        <row r="226">
          <cell r="A226" t="str">
            <v>Corophium crassicorne</v>
          </cell>
          <cell r="B226">
            <v>166</v>
          </cell>
        </row>
        <row r="227">
          <cell r="A227" t="str">
            <v>Corophium sp.</v>
          </cell>
          <cell r="B227">
            <v>167</v>
          </cell>
        </row>
        <row r="228">
          <cell r="A228" t="str">
            <v>Corymorpha aurata</v>
          </cell>
          <cell r="B228">
            <v>57</v>
          </cell>
        </row>
        <row r="229">
          <cell r="A229" t="str">
            <v>Corymorpha gracilis</v>
          </cell>
          <cell r="B229">
            <v>58</v>
          </cell>
        </row>
        <row r="230">
          <cell r="A230" t="str">
            <v>Corymorpha sp.</v>
          </cell>
          <cell r="B230">
            <v>59</v>
          </cell>
        </row>
        <row r="231">
          <cell r="A231" t="str">
            <v>Coryne loveni</v>
          </cell>
          <cell r="B231">
            <v>64</v>
          </cell>
        </row>
        <row r="232">
          <cell r="A232" t="str">
            <v>Coryne tubulosa</v>
          </cell>
          <cell r="B232">
            <v>65</v>
          </cell>
        </row>
        <row r="233">
          <cell r="A233" t="str">
            <v>Coryphella gracilis</v>
          </cell>
          <cell r="B233">
            <v>322</v>
          </cell>
        </row>
        <row r="234">
          <cell r="A234" t="str">
            <v>Coryphella nobilis</v>
          </cell>
          <cell r="B234">
            <v>323</v>
          </cell>
        </row>
        <row r="235">
          <cell r="A235" t="str">
            <v>Coryphella sp.</v>
          </cell>
          <cell r="B235">
            <v>324</v>
          </cell>
        </row>
        <row r="236">
          <cell r="A236" t="str">
            <v>Coryphella verrucosa</v>
          </cell>
          <cell r="B236">
            <v>325</v>
          </cell>
        </row>
        <row r="237">
          <cell r="A237" t="str">
            <v>Cossura longicirrata</v>
          </cell>
          <cell r="B237">
            <v>754</v>
          </cell>
        </row>
        <row r="238">
          <cell r="A238" t="str">
            <v>Cossura sp.</v>
          </cell>
          <cell r="B238">
            <v>1084</v>
          </cell>
        </row>
        <row r="239">
          <cell r="A239" t="str">
            <v>Crangon allmanni</v>
          </cell>
          <cell r="B239">
            <v>1010</v>
          </cell>
        </row>
        <row r="240">
          <cell r="A240" t="str">
            <v>Crangon crangon</v>
          </cell>
          <cell r="B240">
            <v>250</v>
          </cell>
        </row>
        <row r="241">
          <cell r="A241" t="str">
            <v>Crellomima imparidens</v>
          </cell>
          <cell r="B241">
            <v>864</v>
          </cell>
        </row>
        <row r="242">
          <cell r="A242" t="str">
            <v>Crenella decussata</v>
          </cell>
          <cell r="B242">
            <v>449</v>
          </cell>
        </row>
        <row r="243">
          <cell r="A243" t="str">
            <v>Cribrillina annulata</v>
          </cell>
          <cell r="B243">
            <v>523</v>
          </cell>
        </row>
        <row r="244">
          <cell r="A244" t="str">
            <v>Cribrillina spitzbergensis</v>
          </cell>
          <cell r="B244">
            <v>524</v>
          </cell>
        </row>
        <row r="245">
          <cell r="A245" t="str">
            <v>Cricotopus vitripenis</v>
          </cell>
          <cell r="B245">
            <v>283</v>
          </cell>
        </row>
        <row r="246">
          <cell r="A246" t="str">
            <v>Crisia denticulata</v>
          </cell>
          <cell r="B246">
            <v>1147</v>
          </cell>
        </row>
        <row r="247">
          <cell r="A247" t="str">
            <v>Crisia eburnea</v>
          </cell>
          <cell r="B247">
            <v>589</v>
          </cell>
        </row>
        <row r="248">
          <cell r="A248" t="str">
            <v>Crisia eburneodenticulata</v>
          </cell>
          <cell r="B248">
            <v>590</v>
          </cell>
        </row>
        <row r="249">
          <cell r="A249" t="str">
            <v>Crisia klugei</v>
          </cell>
          <cell r="B249">
            <v>591</v>
          </cell>
        </row>
        <row r="250">
          <cell r="A250" t="str">
            <v>Crisia sp.</v>
          </cell>
          <cell r="B250">
            <v>1162</v>
          </cell>
        </row>
        <row r="251">
          <cell r="A251" t="str">
            <v>Crisiella producta</v>
          </cell>
          <cell r="B251">
            <v>592</v>
          </cell>
        </row>
        <row r="252">
          <cell r="A252" t="str">
            <v>Crossaster papposus</v>
          </cell>
          <cell r="B252">
            <v>846</v>
          </cell>
        </row>
        <row r="253">
          <cell r="A253" t="str">
            <v>Crustacea</v>
          </cell>
          <cell r="B253">
            <v>1192</v>
          </cell>
        </row>
        <row r="254">
          <cell r="A254" t="str">
            <v>Cryonella minutum</v>
          </cell>
          <cell r="B254">
            <v>367</v>
          </cell>
        </row>
        <row r="255">
          <cell r="A255" t="str">
            <v>Cryptonatica bathybii</v>
          </cell>
          <cell r="B255">
            <v>1190</v>
          </cell>
        </row>
        <row r="256">
          <cell r="A256" t="str">
            <v>Cryptonatica clausa</v>
          </cell>
          <cell r="B256">
            <v>340</v>
          </cell>
        </row>
        <row r="257">
          <cell r="A257" t="str">
            <v>Crystallophrisson intermediu</v>
          </cell>
          <cell r="B257">
            <v>473</v>
          </cell>
        </row>
        <row r="258">
          <cell r="A258" t="str">
            <v>Crystallophrisson luitfriedi</v>
          </cell>
          <cell r="B258">
            <v>474</v>
          </cell>
        </row>
        <row r="259">
          <cell r="A259" t="str">
            <v>Crystallophrisson marinae</v>
          </cell>
          <cell r="B259">
            <v>475</v>
          </cell>
        </row>
        <row r="260">
          <cell r="A260" t="str">
            <v>Crystallophrisson nitens</v>
          </cell>
          <cell r="B260">
            <v>476</v>
          </cell>
        </row>
        <row r="261">
          <cell r="A261" t="str">
            <v>Cucumaria frondosa</v>
          </cell>
          <cell r="B261">
            <v>854</v>
          </cell>
        </row>
        <row r="262">
          <cell r="A262" t="str">
            <v>Cucumaria glacialis</v>
          </cell>
          <cell r="B262">
            <v>1142</v>
          </cell>
        </row>
        <row r="263">
          <cell r="A263" t="str">
            <v>Culicoides sp.</v>
          </cell>
          <cell r="B263">
            <v>284</v>
          </cell>
        </row>
        <row r="264">
          <cell r="A264" t="str">
            <v>Cumacea</v>
          </cell>
          <cell r="B264">
            <v>246</v>
          </cell>
        </row>
        <row r="265">
          <cell r="A265" t="str">
            <v>Curtitoma novajasjemlensis</v>
          </cell>
          <cell r="B265">
            <v>299</v>
          </cell>
        </row>
        <row r="266">
          <cell r="A266" t="str">
            <v>Curtitoma trevelliana</v>
          </cell>
          <cell r="B266">
            <v>300</v>
          </cell>
        </row>
        <row r="267">
          <cell r="A267" t="str">
            <v>Curtitoma violacea</v>
          </cell>
          <cell r="B267">
            <v>301</v>
          </cell>
        </row>
        <row r="268">
          <cell r="A268" t="str">
            <v>Cuspidella mertensi</v>
          </cell>
          <cell r="B268">
            <v>40</v>
          </cell>
        </row>
        <row r="269">
          <cell r="A269" t="str">
            <v>Cuthona concinna</v>
          </cell>
          <cell r="B269">
            <v>326</v>
          </cell>
        </row>
        <row r="270">
          <cell r="A270" t="str">
            <v>Cuthona hiemalis</v>
          </cell>
          <cell r="B270">
            <v>327</v>
          </cell>
        </row>
        <row r="271">
          <cell r="A271" t="str">
            <v>Cuthona marisalbi</v>
          </cell>
          <cell r="B271">
            <v>328</v>
          </cell>
        </row>
        <row r="272">
          <cell r="A272" t="str">
            <v>Cylichna alba</v>
          </cell>
          <cell r="B272">
            <v>388</v>
          </cell>
        </row>
        <row r="273">
          <cell r="A273" t="str">
            <v>Cylichna occulta</v>
          </cell>
          <cell r="B273">
            <v>389</v>
          </cell>
        </row>
        <row r="274">
          <cell r="A274" t="str">
            <v>Cylichna scalpta</v>
          </cell>
          <cell r="B274">
            <v>1092</v>
          </cell>
        </row>
        <row r="275">
          <cell r="A275" t="str">
            <v>Cylindroporella tubulosa</v>
          </cell>
          <cell r="B275">
            <v>525</v>
          </cell>
        </row>
        <row r="276">
          <cell r="A276" t="str">
            <v>Cyrtodaria kurriana</v>
          </cell>
          <cell r="B276">
            <v>1030</v>
          </cell>
        </row>
        <row r="277">
          <cell r="A277" t="str">
            <v>Cystoclonium aureum</v>
          </cell>
          <cell r="B277">
            <v>940</v>
          </cell>
        </row>
        <row r="278">
          <cell r="A278" t="str">
            <v>Cystoclonium purpurescens</v>
          </cell>
          <cell r="B278">
            <v>941</v>
          </cell>
        </row>
        <row r="279">
          <cell r="A279" t="str">
            <v>Dacrydium vitreum</v>
          </cell>
          <cell r="B279">
            <v>450</v>
          </cell>
        </row>
        <row r="280">
          <cell r="A280" t="str">
            <v>Dasychone infarcta</v>
          </cell>
          <cell r="B280">
            <v>794</v>
          </cell>
        </row>
        <row r="281">
          <cell r="A281" t="str">
            <v>Dasychone sp.</v>
          </cell>
          <cell r="B281">
            <v>1083</v>
          </cell>
        </row>
        <row r="282">
          <cell r="A282" t="str">
            <v>Decapoda</v>
          </cell>
          <cell r="B282">
            <v>253</v>
          </cell>
        </row>
        <row r="283">
          <cell r="A283" t="str">
            <v>Dendrobeania fruticosa</v>
          </cell>
          <cell r="B283">
            <v>526</v>
          </cell>
        </row>
        <row r="284">
          <cell r="A284" t="str">
            <v>Dendrobeania murrayana</v>
          </cell>
          <cell r="B284">
            <v>527</v>
          </cell>
        </row>
        <row r="285">
          <cell r="A285" t="str">
            <v>Dendrobeania pseudomurrayana</v>
          </cell>
          <cell r="B285">
            <v>528</v>
          </cell>
        </row>
        <row r="286">
          <cell r="A286" t="str">
            <v>Dendrobeania sp.</v>
          </cell>
          <cell r="B286">
            <v>529</v>
          </cell>
        </row>
        <row r="287">
          <cell r="A287" t="str">
            <v>Dendrochiridota</v>
          </cell>
          <cell r="B287">
            <v>855</v>
          </cell>
        </row>
        <row r="288">
          <cell r="A288" t="str">
            <v>Dendrodoa grossularia</v>
          </cell>
          <cell r="B288">
            <v>914</v>
          </cell>
        </row>
        <row r="289">
          <cell r="A289" t="str">
            <v>Dendronotus dalli</v>
          </cell>
          <cell r="B289">
            <v>331</v>
          </cell>
        </row>
        <row r="290">
          <cell r="A290" t="str">
            <v>Dendronotus frondosus</v>
          </cell>
          <cell r="B290">
            <v>332</v>
          </cell>
        </row>
        <row r="291">
          <cell r="A291" t="str">
            <v>Dendronotus robustus</v>
          </cell>
          <cell r="B291">
            <v>333</v>
          </cell>
        </row>
        <row r="292">
          <cell r="A292" t="str">
            <v>Dendronotus sp.</v>
          </cell>
          <cell r="B292">
            <v>334</v>
          </cell>
        </row>
        <row r="293">
          <cell r="A293" t="str">
            <v>Derbesia marina</v>
          </cell>
          <cell r="B293">
            <v>1191</v>
          </cell>
        </row>
        <row r="294">
          <cell r="A294" t="str">
            <v>Desmarestia aculeata</v>
          </cell>
          <cell r="B294">
            <v>981</v>
          </cell>
        </row>
        <row r="295">
          <cell r="A295" t="str">
            <v>Diaphana hyalina</v>
          </cell>
          <cell r="B295">
            <v>391</v>
          </cell>
        </row>
        <row r="296">
          <cell r="A296" t="str">
            <v>Diaphana minuta</v>
          </cell>
          <cell r="B296">
            <v>392</v>
          </cell>
        </row>
        <row r="297">
          <cell r="A297" t="str">
            <v>Diaphana quadrata</v>
          </cell>
          <cell r="B297">
            <v>393</v>
          </cell>
        </row>
        <row r="298">
          <cell r="A298" t="str">
            <v>Diastylis edwardsii</v>
          </cell>
          <cell r="B298">
            <v>1137</v>
          </cell>
        </row>
        <row r="299">
          <cell r="A299" t="str">
            <v>Diastylis glabra</v>
          </cell>
          <cell r="B299">
            <v>237</v>
          </cell>
        </row>
        <row r="300">
          <cell r="A300" t="str">
            <v>Diastylis lucifera</v>
          </cell>
          <cell r="B300">
            <v>1136</v>
          </cell>
        </row>
        <row r="301">
          <cell r="A301" t="str">
            <v>Diastylis nucella</v>
          </cell>
          <cell r="B301">
            <v>1100</v>
          </cell>
        </row>
        <row r="302">
          <cell r="A302" t="str">
            <v>Diastylis oxyrhyncha</v>
          </cell>
          <cell r="B302">
            <v>1138</v>
          </cell>
        </row>
        <row r="303">
          <cell r="A303" t="str">
            <v>Diastylis rathkei</v>
          </cell>
          <cell r="B303">
            <v>238</v>
          </cell>
        </row>
        <row r="304">
          <cell r="A304" t="str">
            <v>Diastylis scorpioides</v>
          </cell>
          <cell r="B304">
            <v>239</v>
          </cell>
        </row>
        <row r="305">
          <cell r="A305" t="str">
            <v>Diastylis sp.</v>
          </cell>
          <cell r="B305">
            <v>1117</v>
          </cell>
        </row>
        <row r="306">
          <cell r="A306" t="str">
            <v>Diastylis sulcata</v>
          </cell>
          <cell r="B306">
            <v>240</v>
          </cell>
        </row>
        <row r="307">
          <cell r="A307" t="str">
            <v>Dictyosiphon foeniculaceus</v>
          </cell>
          <cell r="B307">
            <v>983</v>
          </cell>
        </row>
        <row r="308">
          <cell r="A308" t="str">
            <v>Dictyosiphon hyppuroides</v>
          </cell>
          <cell r="B308">
            <v>966</v>
          </cell>
        </row>
        <row r="309">
          <cell r="A309" t="str">
            <v>Dictyosiphon sp.</v>
          </cell>
          <cell r="B309">
            <v>982</v>
          </cell>
        </row>
        <row r="310">
          <cell r="A310" t="str">
            <v>Didemnum roseum</v>
          </cell>
          <cell r="B310">
            <v>916</v>
          </cell>
        </row>
        <row r="311">
          <cell r="A311" t="str">
            <v>Dilsea socialis</v>
          </cell>
          <cell r="B311">
            <v>1154</v>
          </cell>
        </row>
        <row r="312">
          <cell r="A312" t="str">
            <v>Diphasia falax</v>
          </cell>
          <cell r="B312">
            <v>3</v>
          </cell>
        </row>
        <row r="313">
          <cell r="A313" t="str">
            <v>Diphasia rosacea</v>
          </cell>
          <cell r="B313">
            <v>4</v>
          </cell>
        </row>
        <row r="314">
          <cell r="A314" t="str">
            <v>Diplocirrus longisetosus</v>
          </cell>
          <cell r="B314">
            <v>635</v>
          </cell>
        </row>
        <row r="315">
          <cell r="A315" t="str">
            <v>Diplocirrus sp.</v>
          </cell>
          <cell r="B315">
            <v>636</v>
          </cell>
        </row>
        <row r="316">
          <cell r="A316" t="str">
            <v>Diplosolen obelia</v>
          </cell>
          <cell r="B316">
            <v>596</v>
          </cell>
        </row>
        <row r="317">
          <cell r="A317" t="str">
            <v>Diptera</v>
          </cell>
          <cell r="B317">
            <v>285</v>
          </cell>
        </row>
        <row r="318">
          <cell r="A318" t="str">
            <v>Dodecaceria concharum</v>
          </cell>
          <cell r="B318">
            <v>755</v>
          </cell>
        </row>
        <row r="319">
          <cell r="A319" t="str">
            <v>Dolichopodidae</v>
          </cell>
          <cell r="B319">
            <v>286</v>
          </cell>
        </row>
        <row r="320">
          <cell r="A320" t="str">
            <v>Dorvelleidae</v>
          </cell>
          <cell r="B320">
            <v>1081</v>
          </cell>
        </row>
        <row r="321">
          <cell r="A321" t="str">
            <v>Dorvillea kastjani</v>
          </cell>
          <cell r="B321">
            <v>816</v>
          </cell>
        </row>
        <row r="322">
          <cell r="A322" t="str">
            <v>Doryporella spathulifera</v>
          </cell>
          <cell r="B322">
            <v>502</v>
          </cell>
        </row>
        <row r="323">
          <cell r="A323" t="str">
            <v>Dulichia bispina</v>
          </cell>
          <cell r="B323">
            <v>171</v>
          </cell>
        </row>
        <row r="324">
          <cell r="A324" t="str">
            <v>Dulichia monacantha</v>
          </cell>
          <cell r="B324">
            <v>1148</v>
          </cell>
        </row>
        <row r="325">
          <cell r="A325" t="str">
            <v>Dulichia porrecta</v>
          </cell>
          <cell r="B325">
            <v>172</v>
          </cell>
        </row>
        <row r="326">
          <cell r="A326" t="str">
            <v>Dulichia sp.</v>
          </cell>
          <cell r="B326">
            <v>173</v>
          </cell>
        </row>
        <row r="327">
          <cell r="A327" t="str">
            <v>Dulichia spinosissima</v>
          </cell>
          <cell r="B327">
            <v>174</v>
          </cell>
        </row>
        <row r="328">
          <cell r="A328" t="str">
            <v>Dumontia incrassata</v>
          </cell>
          <cell r="B328">
            <v>962</v>
          </cell>
        </row>
        <row r="329">
          <cell r="A329" t="str">
            <v>Dynamena operculata</v>
          </cell>
          <cell r="B329">
            <v>5</v>
          </cell>
        </row>
        <row r="330">
          <cell r="A330" t="str">
            <v>Dynamena pumila</v>
          </cell>
          <cell r="B330">
            <v>6</v>
          </cell>
        </row>
        <row r="331">
          <cell r="A331" t="str">
            <v>Dysidea fragilis</v>
          </cell>
          <cell r="B331">
            <v>877</v>
          </cell>
        </row>
        <row r="332">
          <cell r="A332" t="str">
            <v>Dysponetus pygmaeus</v>
          </cell>
          <cell r="B332">
            <v>1164</v>
          </cell>
        </row>
        <row r="333">
          <cell r="A333" t="str">
            <v>Echiurus echiurus</v>
          </cell>
          <cell r="B333">
            <v>1031</v>
          </cell>
        </row>
        <row r="334">
          <cell r="A334" t="str">
            <v>Ectocarpus sp.</v>
          </cell>
          <cell r="B334">
            <v>984</v>
          </cell>
        </row>
        <row r="335">
          <cell r="A335" t="str">
            <v>Ectyodoryx derjugini</v>
          </cell>
          <cell r="B335">
            <v>869</v>
          </cell>
        </row>
        <row r="336">
          <cell r="A336" t="str">
            <v>Edwardsia sp.</v>
          </cell>
          <cell r="B336">
            <v>93</v>
          </cell>
        </row>
        <row r="337">
          <cell r="A337" t="str">
            <v>Edwasiella carnea</v>
          </cell>
          <cell r="B337">
            <v>94</v>
          </cell>
        </row>
        <row r="338">
          <cell r="A338" t="str">
            <v>Ekmania barthi</v>
          </cell>
          <cell r="B338">
            <v>857</v>
          </cell>
        </row>
        <row r="339">
          <cell r="A339" t="str">
            <v>Elachistea sp.</v>
          </cell>
          <cell r="B339">
            <v>986</v>
          </cell>
        </row>
        <row r="340">
          <cell r="A340" t="str">
            <v>Electra crustulenta</v>
          </cell>
          <cell r="B340">
            <v>503</v>
          </cell>
        </row>
        <row r="341">
          <cell r="A341" t="str">
            <v>Electra pilosa</v>
          </cell>
          <cell r="B341">
            <v>504</v>
          </cell>
        </row>
        <row r="342">
          <cell r="A342" t="str">
            <v>Electra sp.</v>
          </cell>
          <cell r="B342">
            <v>1167</v>
          </cell>
        </row>
        <row r="343">
          <cell r="A343" t="str">
            <v>Elliptica elliptica</v>
          </cell>
          <cell r="B343">
            <v>426</v>
          </cell>
        </row>
        <row r="344">
          <cell r="A344" t="str">
            <v>Enchitreidae</v>
          </cell>
          <cell r="B344">
            <v>830</v>
          </cell>
        </row>
        <row r="345">
          <cell r="A345" t="str">
            <v>Enteromorpha prolifera</v>
          </cell>
          <cell r="B345">
            <v>1000</v>
          </cell>
        </row>
        <row r="346">
          <cell r="A346" t="str">
            <v>Ephemerella notata</v>
          </cell>
          <cell r="B346">
            <v>289</v>
          </cell>
        </row>
        <row r="347">
          <cell r="A347" t="str">
            <v>Epheria crassior</v>
          </cell>
          <cell r="B347">
            <v>372</v>
          </cell>
        </row>
        <row r="348">
          <cell r="A348" t="str">
            <v>Epheria vincta</v>
          </cell>
          <cell r="B348">
            <v>373</v>
          </cell>
        </row>
        <row r="349">
          <cell r="A349" t="str">
            <v>Ephesia gracilis</v>
          </cell>
          <cell r="B349">
            <v>776</v>
          </cell>
        </row>
        <row r="350">
          <cell r="A350" t="str">
            <v>Erginus rubellus</v>
          </cell>
          <cell r="B350">
            <v>398</v>
          </cell>
        </row>
        <row r="351">
          <cell r="A351" t="str">
            <v>Ericthonius megalops</v>
          </cell>
          <cell r="B351">
            <v>1033</v>
          </cell>
        </row>
        <row r="352">
          <cell r="A352" t="str">
            <v>Ericthonius rubricornis</v>
          </cell>
          <cell r="B352">
            <v>1032</v>
          </cell>
        </row>
        <row r="353">
          <cell r="A353" t="str">
            <v>Erycthoneus sp.</v>
          </cell>
          <cell r="B353">
            <v>168</v>
          </cell>
        </row>
        <row r="354">
          <cell r="A354" t="str">
            <v>Erycthonius brasilensis</v>
          </cell>
          <cell r="B354">
            <v>169</v>
          </cell>
        </row>
        <row r="355">
          <cell r="A355" t="str">
            <v>Escharella dijmphnae</v>
          </cell>
          <cell r="B355">
            <v>530</v>
          </cell>
        </row>
        <row r="356">
          <cell r="A356" t="str">
            <v>Escharella immersa</v>
          </cell>
          <cell r="B356">
            <v>531</v>
          </cell>
        </row>
        <row r="357">
          <cell r="A357" t="str">
            <v>Escharella microstoma</v>
          </cell>
          <cell r="B357">
            <v>532</v>
          </cell>
        </row>
        <row r="358">
          <cell r="A358" t="str">
            <v>Escharella sp.</v>
          </cell>
          <cell r="B358">
            <v>534</v>
          </cell>
        </row>
        <row r="359">
          <cell r="A359" t="str">
            <v>Escharella ventricosa</v>
          </cell>
          <cell r="B359">
            <v>533</v>
          </cell>
        </row>
        <row r="360">
          <cell r="A360" t="str">
            <v>Escharelloides spinulifera</v>
          </cell>
          <cell r="B360">
            <v>535</v>
          </cell>
        </row>
        <row r="361">
          <cell r="A361" t="str">
            <v>Escharopsis rosacea</v>
          </cell>
          <cell r="B361">
            <v>536</v>
          </cell>
        </row>
        <row r="362">
          <cell r="A362" t="str">
            <v>Escharopsis sarsi</v>
          </cell>
          <cell r="B362">
            <v>537</v>
          </cell>
        </row>
        <row r="363">
          <cell r="A363" t="str">
            <v>Esperiopsis typichela</v>
          </cell>
          <cell r="B363">
            <v>873</v>
          </cell>
        </row>
        <row r="364">
          <cell r="A364" t="str">
            <v>Eteone barbata</v>
          </cell>
          <cell r="B364">
            <v>707</v>
          </cell>
        </row>
        <row r="365">
          <cell r="A365" t="str">
            <v>Eteone flava</v>
          </cell>
          <cell r="B365">
            <v>708</v>
          </cell>
        </row>
        <row r="366">
          <cell r="A366" t="str">
            <v>Eteone longa</v>
          </cell>
          <cell r="B366">
            <v>709</v>
          </cell>
        </row>
        <row r="367">
          <cell r="A367" t="str">
            <v>Eteone sp.</v>
          </cell>
          <cell r="B367">
            <v>710</v>
          </cell>
        </row>
        <row r="368">
          <cell r="A368" t="str">
            <v>Eteone spetsbergensis</v>
          </cell>
          <cell r="B368">
            <v>1143</v>
          </cell>
        </row>
        <row r="369">
          <cell r="A369" t="str">
            <v>Eualis gaimardi</v>
          </cell>
          <cell r="B369">
            <v>255</v>
          </cell>
        </row>
        <row r="370">
          <cell r="A370" t="str">
            <v>Eubranchus exiguus</v>
          </cell>
          <cell r="B370">
            <v>335</v>
          </cell>
        </row>
        <row r="371">
          <cell r="A371" t="str">
            <v>Eubranchus odhneri</v>
          </cell>
          <cell r="B371">
            <v>336</v>
          </cell>
        </row>
        <row r="372">
          <cell r="A372" t="str">
            <v>Euchone analis</v>
          </cell>
          <cell r="B372">
            <v>795</v>
          </cell>
        </row>
        <row r="373">
          <cell r="A373" t="str">
            <v>Euchone papillosa</v>
          </cell>
          <cell r="B373">
            <v>1133</v>
          </cell>
        </row>
        <row r="374">
          <cell r="A374" t="str">
            <v>Euchone sp.</v>
          </cell>
          <cell r="B374">
            <v>796</v>
          </cell>
        </row>
        <row r="375">
          <cell r="A375" t="str">
            <v>Eucratea loricata</v>
          </cell>
          <cell r="B375">
            <v>544</v>
          </cell>
        </row>
        <row r="376">
          <cell r="A376" t="str">
            <v>Eudendrium annulatum</v>
          </cell>
          <cell r="B376">
            <v>66</v>
          </cell>
        </row>
        <row r="377">
          <cell r="A377" t="str">
            <v>Eudendrium capillare</v>
          </cell>
          <cell r="B377">
            <v>67</v>
          </cell>
        </row>
        <row r="378">
          <cell r="A378" t="str">
            <v>Eudendrium rameum</v>
          </cell>
          <cell r="B378">
            <v>68</v>
          </cell>
        </row>
        <row r="379">
          <cell r="A379" t="str">
            <v>Eudorella emarginata</v>
          </cell>
          <cell r="B379">
            <v>1034</v>
          </cell>
        </row>
        <row r="380">
          <cell r="A380" t="str">
            <v>Eudorella sp.</v>
          </cell>
          <cell r="B380">
            <v>1059</v>
          </cell>
        </row>
        <row r="381">
          <cell r="A381" t="str">
            <v>Eulalia bilineata</v>
          </cell>
          <cell r="B381">
            <v>711</v>
          </cell>
        </row>
        <row r="382">
          <cell r="A382" t="str">
            <v>Eulalia viridis</v>
          </cell>
          <cell r="B382">
            <v>712</v>
          </cell>
        </row>
        <row r="383">
          <cell r="A383" t="str">
            <v>Eumida sanguinea</v>
          </cell>
          <cell r="B383">
            <v>713</v>
          </cell>
        </row>
        <row r="384">
          <cell r="A384" t="str">
            <v>Eunice sp.</v>
          </cell>
          <cell r="B384">
            <v>822</v>
          </cell>
        </row>
        <row r="385">
          <cell r="A385" t="str">
            <v>Eunicidae</v>
          </cell>
          <cell r="B385">
            <v>823</v>
          </cell>
        </row>
        <row r="386">
          <cell r="A386" t="str">
            <v>Eunoe nodosa</v>
          </cell>
          <cell r="B386">
            <v>698</v>
          </cell>
        </row>
        <row r="387">
          <cell r="A387" t="str">
            <v>Eunoe oerstedi</v>
          </cell>
          <cell r="B387">
            <v>1172</v>
          </cell>
        </row>
        <row r="388">
          <cell r="A388" t="str">
            <v>Eunoe sp.</v>
          </cell>
          <cell r="B388">
            <v>1173</v>
          </cell>
        </row>
        <row r="389">
          <cell r="A389" t="str">
            <v>Eurycyde hispida</v>
          </cell>
          <cell r="B389">
            <v>269</v>
          </cell>
        </row>
        <row r="390">
          <cell r="A390" t="str">
            <v>Eurystheus melanops</v>
          </cell>
          <cell r="B390">
            <v>175</v>
          </cell>
        </row>
        <row r="391">
          <cell r="A391" t="str">
            <v>Eusirus cuspidatus</v>
          </cell>
          <cell r="B391">
            <v>179</v>
          </cell>
        </row>
        <row r="392">
          <cell r="A392" t="str">
            <v>Eusyllis blomstrandi</v>
          </cell>
          <cell r="B392">
            <v>761</v>
          </cell>
        </row>
        <row r="393">
          <cell r="A393" t="str">
            <v>Eusyllis lamelligera</v>
          </cell>
          <cell r="B393">
            <v>762</v>
          </cell>
        </row>
        <row r="394">
          <cell r="A394" t="str">
            <v>Eusyllis monilicornis</v>
          </cell>
          <cell r="B394">
            <v>763</v>
          </cell>
        </row>
        <row r="395">
          <cell r="A395" t="str">
            <v>Eusyllis sp.</v>
          </cell>
          <cell r="B395">
            <v>764</v>
          </cell>
        </row>
        <row r="396">
          <cell r="A396" t="str">
            <v>Euthora fabriciana</v>
          </cell>
          <cell r="B396">
            <v>1180</v>
          </cell>
        </row>
        <row r="397">
          <cell r="A397" t="str">
            <v>Eutora cristata</v>
          </cell>
          <cell r="B397">
            <v>942</v>
          </cell>
        </row>
        <row r="398">
          <cell r="A398" t="str">
            <v>Euzonus flabelligerus</v>
          </cell>
          <cell r="B398">
            <v>610</v>
          </cell>
        </row>
        <row r="399">
          <cell r="A399" t="str">
            <v>Ewardiella carnea</v>
          </cell>
          <cell r="B399">
            <v>920</v>
          </cell>
        </row>
        <row r="400">
          <cell r="A400" t="str">
            <v>Exogone sp.</v>
          </cell>
          <cell r="B400">
            <v>765</v>
          </cell>
        </row>
        <row r="401">
          <cell r="A401" t="str">
            <v>Fabricia sabella</v>
          </cell>
          <cell r="B401">
            <v>797</v>
          </cell>
        </row>
        <row r="402">
          <cell r="A402" t="str">
            <v>Fabriciidae</v>
          </cell>
          <cell r="B402">
            <v>1149</v>
          </cell>
        </row>
        <row r="403">
          <cell r="A403" t="str">
            <v>Filellum serpens</v>
          </cell>
          <cell r="B403">
            <v>69</v>
          </cell>
        </row>
        <row r="404">
          <cell r="A404" t="str">
            <v>Filicrisia geniculata</v>
          </cell>
          <cell r="B404">
            <v>593</v>
          </cell>
        </row>
        <row r="405">
          <cell r="A405" t="str">
            <v>Filicrisia smitti</v>
          </cell>
          <cell r="B405">
            <v>594</v>
          </cell>
        </row>
        <row r="406">
          <cell r="A406" t="str">
            <v>Filicrisia sp.</v>
          </cell>
          <cell r="B406">
            <v>595</v>
          </cell>
        </row>
        <row r="407">
          <cell r="A407" t="str">
            <v>Flabelligera affinis</v>
          </cell>
          <cell r="B407">
            <v>637</v>
          </cell>
        </row>
        <row r="408">
          <cell r="A408" t="str">
            <v>Flabelligera buskii</v>
          </cell>
          <cell r="B408">
            <v>638</v>
          </cell>
        </row>
        <row r="409">
          <cell r="A409" t="str">
            <v>Flabelligera sp.</v>
          </cell>
          <cell r="B409">
            <v>1089</v>
          </cell>
        </row>
        <row r="410">
          <cell r="A410" t="str">
            <v>Flustra foliacea</v>
          </cell>
          <cell r="B410">
            <v>505</v>
          </cell>
        </row>
        <row r="411">
          <cell r="A411" t="str">
            <v>Flustra membranaceotruncata</v>
          </cell>
          <cell r="B411">
            <v>506</v>
          </cell>
        </row>
        <row r="412">
          <cell r="A412" t="str">
            <v>Flustra seculifrons</v>
          </cell>
          <cell r="B412">
            <v>507</v>
          </cell>
        </row>
        <row r="413">
          <cell r="A413" t="str">
            <v>Flustra sp.</v>
          </cell>
          <cell r="B413">
            <v>1087</v>
          </cell>
        </row>
        <row r="414">
          <cell r="A414" t="str">
            <v>Flustrella corniculata</v>
          </cell>
          <cell r="B414">
            <v>489</v>
          </cell>
        </row>
        <row r="415">
          <cell r="A415" t="str">
            <v>Flustrella hispida</v>
          </cell>
          <cell r="B415">
            <v>490</v>
          </cell>
        </row>
        <row r="416">
          <cell r="A416" t="str">
            <v>Frigidalvania janmayeni</v>
          </cell>
          <cell r="B416">
            <v>368</v>
          </cell>
        </row>
        <row r="417">
          <cell r="A417" t="str">
            <v>Fucus distichus</v>
          </cell>
          <cell r="B417">
            <v>990</v>
          </cell>
        </row>
        <row r="418">
          <cell r="A418" t="str">
            <v>Fucus inflatus</v>
          </cell>
          <cell r="B418">
            <v>991</v>
          </cell>
        </row>
        <row r="419">
          <cell r="A419" t="str">
            <v>Fucus serratus</v>
          </cell>
          <cell r="B419">
            <v>992</v>
          </cell>
        </row>
        <row r="420">
          <cell r="A420" t="str">
            <v>Fucus vesiculosus</v>
          </cell>
          <cell r="B420">
            <v>993</v>
          </cell>
        </row>
        <row r="421">
          <cell r="A421" t="str">
            <v>Furcellaria fastigiota</v>
          </cell>
          <cell r="B421">
            <v>943</v>
          </cell>
        </row>
        <row r="422">
          <cell r="A422" t="str">
            <v>Gammaracanthus loricatus</v>
          </cell>
          <cell r="B422">
            <v>182</v>
          </cell>
        </row>
        <row r="423">
          <cell r="A423" t="str">
            <v>Gammarellus homari</v>
          </cell>
          <cell r="B423">
            <v>183</v>
          </cell>
        </row>
        <row r="424">
          <cell r="A424" t="str">
            <v>Gammaridae</v>
          </cell>
          <cell r="B424">
            <v>184</v>
          </cell>
        </row>
        <row r="425">
          <cell r="A425" t="str">
            <v>Gammaropsis melanops</v>
          </cell>
          <cell r="B425">
            <v>185</v>
          </cell>
        </row>
        <row r="426">
          <cell r="A426" t="str">
            <v>Gammarus duebeni</v>
          </cell>
          <cell r="B426">
            <v>186</v>
          </cell>
        </row>
        <row r="427">
          <cell r="A427" t="str">
            <v>Gammarus oceanicus</v>
          </cell>
          <cell r="B427">
            <v>187</v>
          </cell>
        </row>
        <row r="428">
          <cell r="A428" t="str">
            <v>Gammarus setosus</v>
          </cell>
          <cell r="B428">
            <v>188</v>
          </cell>
        </row>
        <row r="429">
          <cell r="A429" t="str">
            <v>Gammarus sp.</v>
          </cell>
          <cell r="B429">
            <v>189</v>
          </cell>
        </row>
        <row r="430">
          <cell r="A430" t="str">
            <v>Gammarus zaddachi</v>
          </cell>
          <cell r="B430">
            <v>190</v>
          </cell>
        </row>
        <row r="431">
          <cell r="A431" t="str">
            <v>Ganesa laevigata</v>
          </cell>
          <cell r="B431">
            <v>402</v>
          </cell>
        </row>
        <row r="432">
          <cell r="A432" t="str">
            <v>Gastropoda</v>
          </cell>
          <cell r="B432">
            <v>412</v>
          </cell>
        </row>
        <row r="433">
          <cell r="A433" t="str">
            <v>Gattyana cirrosa</v>
          </cell>
          <cell r="B433">
            <v>699</v>
          </cell>
        </row>
        <row r="434">
          <cell r="A434" t="str">
            <v>Gellius angulatus</v>
          </cell>
          <cell r="B434">
            <v>878</v>
          </cell>
        </row>
        <row r="435">
          <cell r="A435" t="str">
            <v>Gellius primitivus</v>
          </cell>
          <cell r="B435">
            <v>879</v>
          </cell>
        </row>
        <row r="436">
          <cell r="A436" t="str">
            <v>Gersemia fruticosa</v>
          </cell>
          <cell r="B436">
            <v>101</v>
          </cell>
        </row>
        <row r="437">
          <cell r="A437" t="str">
            <v>Glycera capitata</v>
          </cell>
          <cell r="B437">
            <v>722</v>
          </cell>
        </row>
        <row r="438">
          <cell r="A438" t="str">
            <v>Goesia depressa</v>
          </cell>
          <cell r="B438">
            <v>1035</v>
          </cell>
        </row>
        <row r="439">
          <cell r="A439" t="str">
            <v>Golfingia margaritaceum</v>
          </cell>
          <cell r="B439">
            <v>923</v>
          </cell>
        </row>
        <row r="440">
          <cell r="A440" t="str">
            <v>Golfingia sp.</v>
          </cell>
          <cell r="B440">
            <v>924</v>
          </cell>
        </row>
        <row r="441">
          <cell r="A441" t="str">
            <v>Gonothyrea longissima</v>
          </cell>
          <cell r="B441">
            <v>50</v>
          </cell>
        </row>
        <row r="442">
          <cell r="A442" t="str">
            <v>Gonothyrea loveni</v>
          </cell>
          <cell r="B442">
            <v>51</v>
          </cell>
        </row>
        <row r="443">
          <cell r="A443" t="str">
            <v>Gorgonocephlus arcticus</v>
          </cell>
          <cell r="B443">
            <v>837</v>
          </cell>
        </row>
        <row r="444">
          <cell r="A444" t="str">
            <v>Grammaria abietina</v>
          </cell>
          <cell r="B444">
            <v>70</v>
          </cell>
        </row>
        <row r="445">
          <cell r="A445" t="str">
            <v>Grammaria immersa</v>
          </cell>
          <cell r="B445">
            <v>71</v>
          </cell>
        </row>
        <row r="446">
          <cell r="A446" t="str">
            <v>Grammaria sp.</v>
          </cell>
          <cell r="B446">
            <v>72</v>
          </cell>
        </row>
        <row r="447">
          <cell r="A447" t="str">
            <v>Grania efflorescens</v>
          </cell>
          <cell r="B447">
            <v>1193</v>
          </cell>
        </row>
        <row r="448">
          <cell r="A448" t="str">
            <v>Gymnolaemata</v>
          </cell>
          <cell r="B448">
            <v>588</v>
          </cell>
        </row>
        <row r="449">
          <cell r="A449" t="str">
            <v>Halcampa arctica</v>
          </cell>
          <cell r="B449">
            <v>97</v>
          </cell>
        </row>
        <row r="450">
          <cell r="A450" t="str">
            <v>Halecium beani</v>
          </cell>
          <cell r="B450">
            <v>78</v>
          </cell>
        </row>
        <row r="451">
          <cell r="A451" t="str">
            <v>Halecium corrugatum</v>
          </cell>
          <cell r="B451">
            <v>79</v>
          </cell>
        </row>
        <row r="452">
          <cell r="A452" t="str">
            <v>Halecium groenlandicum</v>
          </cell>
          <cell r="B452">
            <v>80</v>
          </cell>
        </row>
        <row r="453">
          <cell r="A453" t="str">
            <v>Halecium labrosum</v>
          </cell>
          <cell r="B453">
            <v>81</v>
          </cell>
        </row>
        <row r="454">
          <cell r="A454" t="str">
            <v>Halecium marsupiale</v>
          </cell>
          <cell r="B454">
            <v>82</v>
          </cell>
        </row>
        <row r="455">
          <cell r="A455" t="str">
            <v>Halecium mirabile</v>
          </cell>
          <cell r="B455">
            <v>83</v>
          </cell>
        </row>
        <row r="456">
          <cell r="A456" t="str">
            <v>Halecium muricatum</v>
          </cell>
          <cell r="B456">
            <v>84</v>
          </cell>
        </row>
        <row r="457">
          <cell r="A457" t="str">
            <v>Halecium tenellum</v>
          </cell>
          <cell r="B457">
            <v>85</v>
          </cell>
        </row>
        <row r="458">
          <cell r="A458" t="str">
            <v>Halice abyssi</v>
          </cell>
          <cell r="B458">
            <v>196</v>
          </cell>
        </row>
        <row r="459">
          <cell r="A459" t="str">
            <v>Halichondria gracilis</v>
          </cell>
          <cell r="B459">
            <v>885</v>
          </cell>
        </row>
        <row r="460">
          <cell r="A460" t="str">
            <v>Halichondria panicea</v>
          </cell>
          <cell r="B460">
            <v>886</v>
          </cell>
        </row>
        <row r="461">
          <cell r="A461" t="str">
            <v>Halichondria sitiens</v>
          </cell>
          <cell r="B461">
            <v>887</v>
          </cell>
        </row>
        <row r="462">
          <cell r="A462" t="str">
            <v>Haliclona aqueductus</v>
          </cell>
          <cell r="B462">
            <v>880</v>
          </cell>
        </row>
        <row r="463">
          <cell r="A463" t="str">
            <v>Haliclona cinerea</v>
          </cell>
          <cell r="B463">
            <v>881</v>
          </cell>
        </row>
        <row r="464">
          <cell r="A464" t="str">
            <v>Haliclona gracilis</v>
          </cell>
          <cell r="B464">
            <v>882</v>
          </cell>
        </row>
        <row r="465">
          <cell r="A465" t="str">
            <v>Haliclona rossica</v>
          </cell>
          <cell r="B465">
            <v>883</v>
          </cell>
        </row>
        <row r="466">
          <cell r="A466" t="str">
            <v>Haliclona schmidti</v>
          </cell>
          <cell r="B466">
            <v>884</v>
          </cell>
        </row>
        <row r="467">
          <cell r="A467" t="str">
            <v>Halicriptus spinulosus</v>
          </cell>
          <cell r="B467">
            <v>927</v>
          </cell>
        </row>
        <row r="468">
          <cell r="A468" t="str">
            <v>Halirages fulvocinctus</v>
          </cell>
          <cell r="B468">
            <v>158</v>
          </cell>
        </row>
        <row r="469">
          <cell r="A469" t="str">
            <v>Halirages sp.</v>
          </cell>
          <cell r="B469">
            <v>1079</v>
          </cell>
        </row>
        <row r="470">
          <cell r="A470" t="str">
            <v>Halitholus yoldiaearcticae</v>
          </cell>
          <cell r="B470">
            <v>34</v>
          </cell>
        </row>
        <row r="471">
          <cell r="A471" t="str">
            <v>Halosaccion ramentaceum</v>
          </cell>
          <cell r="B471">
            <v>1001</v>
          </cell>
        </row>
        <row r="472">
          <cell r="A472" t="str">
            <v>Halosaccion sp.</v>
          </cell>
          <cell r="B472">
            <v>963</v>
          </cell>
        </row>
        <row r="473">
          <cell r="A473" t="str">
            <v>Haploops laevis</v>
          </cell>
          <cell r="B473">
            <v>1103</v>
          </cell>
        </row>
        <row r="474">
          <cell r="A474" t="str">
            <v>Haploops sibirica</v>
          </cell>
          <cell r="B474">
            <v>131</v>
          </cell>
        </row>
        <row r="475">
          <cell r="A475" t="str">
            <v>Haploops sp.</v>
          </cell>
          <cell r="B475">
            <v>1107</v>
          </cell>
        </row>
        <row r="476">
          <cell r="A476" t="str">
            <v>Haploops tubicolus</v>
          </cell>
          <cell r="B476">
            <v>132</v>
          </cell>
        </row>
        <row r="477">
          <cell r="A477" t="str">
            <v>Harmothoe imbricata</v>
          </cell>
          <cell r="B477">
            <v>700</v>
          </cell>
        </row>
        <row r="478">
          <cell r="A478" t="str">
            <v>Harmothoe rarispina</v>
          </cell>
          <cell r="B478">
            <v>701</v>
          </cell>
        </row>
        <row r="479">
          <cell r="A479" t="str">
            <v>Harmothoe sp.</v>
          </cell>
          <cell r="B479">
            <v>1060</v>
          </cell>
        </row>
        <row r="480">
          <cell r="A480" t="str">
            <v>Harpinia antennaria</v>
          </cell>
          <cell r="B480">
            <v>199</v>
          </cell>
        </row>
        <row r="481">
          <cell r="A481" t="str">
            <v>Helecium beani</v>
          </cell>
          <cell r="B481">
            <v>86</v>
          </cell>
        </row>
        <row r="482">
          <cell r="A482" t="str">
            <v>Hemiaclis glabra</v>
          </cell>
          <cell r="B482">
            <v>414</v>
          </cell>
        </row>
        <row r="483">
          <cell r="A483" t="str">
            <v>Hemilamprops uniplicata</v>
          </cell>
          <cell r="B483">
            <v>1150</v>
          </cell>
        </row>
        <row r="484">
          <cell r="A484" t="str">
            <v>Hemithyris psittacea</v>
          </cell>
          <cell r="B484">
            <v>930</v>
          </cell>
        </row>
        <row r="485">
          <cell r="A485" t="str">
            <v>Henricia sp.</v>
          </cell>
          <cell r="B485">
            <v>848</v>
          </cell>
        </row>
        <row r="486">
          <cell r="A486" t="str">
            <v>Heteranomia aculeata</v>
          </cell>
          <cell r="B486">
            <v>447</v>
          </cell>
        </row>
        <row r="487">
          <cell r="A487" t="str">
            <v>Heteranomia squamula</v>
          </cell>
          <cell r="B487">
            <v>448</v>
          </cell>
        </row>
        <row r="488">
          <cell r="A488" t="str">
            <v>Heteromastus filiformis</v>
          </cell>
          <cell r="B488">
            <v>644</v>
          </cell>
        </row>
        <row r="489">
          <cell r="A489" t="str">
            <v>Hiatella arctica</v>
          </cell>
          <cell r="B489">
            <v>432</v>
          </cell>
        </row>
        <row r="490">
          <cell r="A490" t="str">
            <v>Hiatella pholadis</v>
          </cell>
          <cell r="B490">
            <v>433</v>
          </cell>
        </row>
        <row r="491">
          <cell r="A491" t="str">
            <v>Hippodiplosia borealis</v>
          </cell>
          <cell r="B491">
            <v>545</v>
          </cell>
        </row>
        <row r="492">
          <cell r="A492" t="str">
            <v>Hippodiplosia harmswordi</v>
          </cell>
          <cell r="B492">
            <v>546</v>
          </cell>
        </row>
        <row r="493">
          <cell r="A493" t="str">
            <v>Hippodiplosia obesa</v>
          </cell>
          <cell r="B493">
            <v>547</v>
          </cell>
        </row>
        <row r="494">
          <cell r="A494" t="str">
            <v>Hippodiplosia retuculatopunc</v>
          </cell>
          <cell r="B494">
            <v>548</v>
          </cell>
        </row>
        <row r="495">
          <cell r="A495" t="str">
            <v>Hippodiplosia sp.</v>
          </cell>
          <cell r="B495">
            <v>1163</v>
          </cell>
        </row>
        <row r="496">
          <cell r="A496" t="str">
            <v>Hippodiplosia ussowi</v>
          </cell>
          <cell r="B496">
            <v>549</v>
          </cell>
        </row>
        <row r="497">
          <cell r="A497" t="str">
            <v>Hippoponella hippopus</v>
          </cell>
          <cell r="B497">
            <v>558</v>
          </cell>
        </row>
        <row r="498">
          <cell r="A498" t="str">
            <v>Hippothoa divaricata</v>
          </cell>
          <cell r="B498">
            <v>560</v>
          </cell>
        </row>
        <row r="499">
          <cell r="A499" t="str">
            <v>Hippothoa expansa</v>
          </cell>
          <cell r="B499">
            <v>561</v>
          </cell>
        </row>
        <row r="500">
          <cell r="A500" t="str">
            <v>Hippothoa hyalina</v>
          </cell>
          <cell r="B500">
            <v>562</v>
          </cell>
        </row>
        <row r="501">
          <cell r="A501" t="str">
            <v>Holothuroidea</v>
          </cell>
          <cell r="B501">
            <v>1015</v>
          </cell>
        </row>
        <row r="502">
          <cell r="A502" t="str">
            <v>Homoeodictya palmata</v>
          </cell>
          <cell r="B502">
            <v>874</v>
          </cell>
        </row>
        <row r="503">
          <cell r="A503" t="str">
            <v>Hyalocintia piriformis</v>
          </cell>
          <cell r="B503">
            <v>903</v>
          </cell>
        </row>
        <row r="504">
          <cell r="A504" t="str">
            <v>Hyas araneus</v>
          </cell>
          <cell r="B504">
            <v>257</v>
          </cell>
        </row>
        <row r="505">
          <cell r="A505" t="str">
            <v>Hydractinia allmani</v>
          </cell>
          <cell r="B505">
            <v>30</v>
          </cell>
        </row>
        <row r="506">
          <cell r="A506" t="str">
            <v>Hydractinia carica</v>
          </cell>
          <cell r="B506">
            <v>31</v>
          </cell>
        </row>
        <row r="507">
          <cell r="A507" t="str">
            <v>Hydractinia echinata</v>
          </cell>
          <cell r="B507">
            <v>32</v>
          </cell>
        </row>
        <row r="508">
          <cell r="A508" t="str">
            <v>Hydractinia monocarpa</v>
          </cell>
          <cell r="B508">
            <v>33</v>
          </cell>
        </row>
        <row r="509">
          <cell r="A509" t="str">
            <v>Hydrallmania falcata</v>
          </cell>
          <cell r="B509">
            <v>7</v>
          </cell>
        </row>
        <row r="510">
          <cell r="A510" t="str">
            <v>Hydrobia ulvae</v>
          </cell>
          <cell r="B510">
            <v>375</v>
          </cell>
        </row>
        <row r="511">
          <cell r="A511" t="str">
            <v>Hydrobia ventrosa</v>
          </cell>
          <cell r="B511">
            <v>376</v>
          </cell>
        </row>
        <row r="512">
          <cell r="A512" t="str">
            <v>Hydrozoa</v>
          </cell>
          <cell r="B512">
            <v>1011</v>
          </cell>
        </row>
        <row r="513">
          <cell r="A513" t="str">
            <v>Hymedesmia irregularis</v>
          </cell>
          <cell r="B513">
            <v>865</v>
          </cell>
        </row>
        <row r="514">
          <cell r="A514" t="str">
            <v>Hymedesmia longurius</v>
          </cell>
          <cell r="B514">
            <v>866</v>
          </cell>
        </row>
        <row r="515">
          <cell r="A515" t="str">
            <v>Hymedesmia occulata</v>
          </cell>
          <cell r="B515">
            <v>867</v>
          </cell>
        </row>
        <row r="516">
          <cell r="A516" t="str">
            <v>Hymeniaction gorbunovi</v>
          </cell>
          <cell r="B516">
            <v>921</v>
          </cell>
        </row>
        <row r="517">
          <cell r="A517" t="str">
            <v>Hymeraphya stellifera</v>
          </cell>
          <cell r="B517">
            <v>868</v>
          </cell>
        </row>
        <row r="518">
          <cell r="A518" t="str">
            <v>Hyrudinea</v>
          </cell>
          <cell r="B518">
            <v>834</v>
          </cell>
        </row>
        <row r="519">
          <cell r="A519" t="str">
            <v>Idotheidae</v>
          </cell>
          <cell r="B519">
            <v>1073</v>
          </cell>
        </row>
        <row r="520">
          <cell r="A520" t="str">
            <v>Ilea zostericola</v>
          </cell>
          <cell r="B520">
            <v>1002</v>
          </cell>
        </row>
        <row r="521">
          <cell r="A521" t="str">
            <v>Ilea zosterifolia</v>
          </cell>
        </row>
        <row r="522">
          <cell r="A522" t="str">
            <v>Iophon piceus</v>
          </cell>
          <cell r="B522">
            <v>870</v>
          </cell>
        </row>
        <row r="523">
          <cell r="A523" t="str">
            <v>Ischerocerus angipes</v>
          </cell>
          <cell r="B523">
            <v>203</v>
          </cell>
        </row>
        <row r="524">
          <cell r="A524" t="str">
            <v>Ischerocerus anguipes</v>
          </cell>
          <cell r="B524">
            <v>202</v>
          </cell>
        </row>
        <row r="525">
          <cell r="A525" t="str">
            <v>Ischyrocerus enigmaticus</v>
          </cell>
          <cell r="B525">
            <v>1104</v>
          </cell>
        </row>
        <row r="526">
          <cell r="A526" t="str">
            <v>Ischyrocerus latipes</v>
          </cell>
          <cell r="B526">
            <v>204</v>
          </cell>
        </row>
        <row r="527">
          <cell r="A527" t="str">
            <v>Ischyrocerus megacheir</v>
          </cell>
          <cell r="B527">
            <v>205</v>
          </cell>
        </row>
        <row r="528">
          <cell r="A528" t="str">
            <v>Ischyrocerus sp.</v>
          </cell>
          <cell r="B528">
            <v>206</v>
          </cell>
        </row>
        <row r="529">
          <cell r="A529" t="str">
            <v>Isopoda</v>
          </cell>
          <cell r="B529">
            <v>260</v>
          </cell>
        </row>
        <row r="530">
          <cell r="A530" t="str">
            <v>Jaera albifrons</v>
          </cell>
          <cell r="B530">
            <v>261</v>
          </cell>
        </row>
        <row r="531">
          <cell r="A531" t="str">
            <v>Jeffreysina globularis</v>
          </cell>
          <cell r="B531">
            <v>377</v>
          </cell>
        </row>
        <row r="532">
          <cell r="A532" t="str">
            <v>Kamptozoa</v>
          </cell>
          <cell r="B532">
            <v>931</v>
          </cell>
        </row>
        <row r="533">
          <cell r="A533" t="str">
            <v>Kelliella miliaris</v>
          </cell>
          <cell r="B533">
            <v>1151</v>
          </cell>
        </row>
        <row r="534">
          <cell r="A534" t="str">
            <v>Kylinia virgatula</v>
          </cell>
          <cell r="B534">
            <v>944</v>
          </cell>
        </row>
        <row r="535">
          <cell r="A535" t="str">
            <v>Lacuna neritoidea</v>
          </cell>
          <cell r="B535">
            <v>374</v>
          </cell>
        </row>
        <row r="536">
          <cell r="A536" t="str">
            <v>Lafoea dumosa</v>
          </cell>
          <cell r="B536">
            <v>73</v>
          </cell>
        </row>
        <row r="537">
          <cell r="A537" t="str">
            <v>Lafoea fruticosa</v>
          </cell>
          <cell r="B537">
            <v>74</v>
          </cell>
        </row>
        <row r="538">
          <cell r="A538" t="str">
            <v>Lafoea grandis</v>
          </cell>
          <cell r="B538">
            <v>75</v>
          </cell>
        </row>
        <row r="539">
          <cell r="A539" t="str">
            <v>Lafoea pocillum</v>
          </cell>
          <cell r="B539">
            <v>76</v>
          </cell>
        </row>
        <row r="540">
          <cell r="A540" t="str">
            <v>Lafoea sp.</v>
          </cell>
          <cell r="B540">
            <v>77</v>
          </cell>
        </row>
        <row r="541">
          <cell r="A541" t="str">
            <v>Lafoeina maxima</v>
          </cell>
          <cell r="B541">
            <v>41</v>
          </cell>
        </row>
        <row r="542">
          <cell r="A542" t="str">
            <v>Lagisca extenuata</v>
          </cell>
          <cell r="B542">
            <v>702</v>
          </cell>
        </row>
        <row r="543">
          <cell r="A543" t="str">
            <v>Laminaria digitata</v>
          </cell>
          <cell r="B543">
            <v>975</v>
          </cell>
        </row>
        <row r="544">
          <cell r="A544" t="str">
            <v>Laminaria saccharina</v>
          </cell>
          <cell r="B544">
            <v>976</v>
          </cell>
        </row>
        <row r="545">
          <cell r="A545" t="str">
            <v>Lamprops fuscata</v>
          </cell>
          <cell r="B545">
            <v>247</v>
          </cell>
        </row>
        <row r="546">
          <cell r="A546" t="str">
            <v>Lamprops sp.</v>
          </cell>
          <cell r="B546">
            <v>1062</v>
          </cell>
        </row>
        <row r="547">
          <cell r="A547" t="str">
            <v>Lanassa nordenskioldi</v>
          </cell>
          <cell r="B547">
            <v>1109</v>
          </cell>
        </row>
        <row r="548">
          <cell r="A548" t="str">
            <v>Lanassa venusta</v>
          </cell>
          <cell r="B548">
            <v>670</v>
          </cell>
        </row>
        <row r="549">
          <cell r="A549" t="str">
            <v>Laonice cirrata</v>
          </cell>
          <cell r="B549">
            <v>725</v>
          </cell>
        </row>
        <row r="550">
          <cell r="A550" t="str">
            <v>Laonice sp.</v>
          </cell>
          <cell r="B550">
            <v>726</v>
          </cell>
        </row>
        <row r="551">
          <cell r="A551" t="str">
            <v>Laonome kroyeri</v>
          </cell>
          <cell r="B551">
            <v>800</v>
          </cell>
        </row>
        <row r="552">
          <cell r="A552" t="str">
            <v>Laphania boecki</v>
          </cell>
          <cell r="B552">
            <v>671</v>
          </cell>
        </row>
        <row r="553">
          <cell r="A553" t="str">
            <v>Laskeya arctica</v>
          </cell>
          <cell r="B553">
            <v>415</v>
          </cell>
        </row>
        <row r="554">
          <cell r="A554" t="str">
            <v>Leaena abranchiata</v>
          </cell>
          <cell r="B554">
            <v>672</v>
          </cell>
        </row>
        <row r="555">
          <cell r="A555" t="str">
            <v>Leaena ebranchiata</v>
          </cell>
          <cell r="B555">
            <v>1036</v>
          </cell>
        </row>
        <row r="556">
          <cell r="A556" t="str">
            <v>Lebbeus polaris</v>
          </cell>
          <cell r="B556">
            <v>256</v>
          </cell>
        </row>
        <row r="557">
          <cell r="A557" t="str">
            <v>Leieschara coarctata</v>
          </cell>
          <cell r="B557">
            <v>563</v>
          </cell>
        </row>
        <row r="558">
          <cell r="A558" t="str">
            <v>Leiochone polaris</v>
          </cell>
          <cell r="B558">
            <v>619</v>
          </cell>
        </row>
        <row r="559">
          <cell r="A559" t="str">
            <v>Leionucula bellotii</v>
          </cell>
          <cell r="B559">
            <v>458</v>
          </cell>
        </row>
        <row r="560">
          <cell r="A560" t="str">
            <v>Lembos sp.</v>
          </cell>
          <cell r="B560">
            <v>209</v>
          </cell>
        </row>
        <row r="561">
          <cell r="A561" t="str">
            <v>Lepeta coeca</v>
          </cell>
          <cell r="B561">
            <v>401</v>
          </cell>
        </row>
        <row r="562">
          <cell r="A562" t="str">
            <v>Lepidonotus squamatus</v>
          </cell>
          <cell r="B562">
            <v>703</v>
          </cell>
        </row>
        <row r="563">
          <cell r="A563" t="str">
            <v>Lepraliella contigua</v>
          </cell>
          <cell r="B563">
            <v>559</v>
          </cell>
        </row>
        <row r="564">
          <cell r="A564" t="str">
            <v>Leptognathia gracilis</v>
          </cell>
          <cell r="B564">
            <v>1037</v>
          </cell>
        </row>
        <row r="565">
          <cell r="A565" t="str">
            <v>Leptognathia sarsi</v>
          </cell>
          <cell r="B565">
            <v>230</v>
          </cell>
        </row>
        <row r="566">
          <cell r="A566" t="str">
            <v>Leptoloda</v>
          </cell>
          <cell r="B566">
            <v>87</v>
          </cell>
        </row>
        <row r="567">
          <cell r="A567" t="str">
            <v>Leptostylis ampulacea</v>
          </cell>
          <cell r="B567">
            <v>241</v>
          </cell>
        </row>
        <row r="568">
          <cell r="A568" t="str">
            <v>Leptostylis longimana</v>
          </cell>
          <cell r="B568">
            <v>1130</v>
          </cell>
        </row>
        <row r="569">
          <cell r="A569" t="str">
            <v>Leptostylis macrura</v>
          </cell>
          <cell r="B569">
            <v>242</v>
          </cell>
        </row>
        <row r="570">
          <cell r="A570" t="str">
            <v>Leucon fulvus</v>
          </cell>
          <cell r="B570">
            <v>1096</v>
          </cell>
        </row>
        <row r="571">
          <cell r="A571" t="str">
            <v>Leucon nasicoides</v>
          </cell>
          <cell r="B571">
            <v>248</v>
          </cell>
        </row>
        <row r="572">
          <cell r="A572" t="str">
            <v>Leucon nathorsti</v>
          </cell>
          <cell r="B572">
            <v>1097</v>
          </cell>
        </row>
        <row r="573">
          <cell r="A573" t="str">
            <v>Leucon pallidus</v>
          </cell>
          <cell r="B573">
            <v>1095</v>
          </cell>
        </row>
        <row r="574">
          <cell r="A574" t="str">
            <v>Leucosolenia complicata</v>
          </cell>
          <cell r="B574">
            <v>1179</v>
          </cell>
        </row>
        <row r="575">
          <cell r="A575" t="str">
            <v>Levinsenia gracilis</v>
          </cell>
          <cell r="B575">
            <v>1038</v>
          </cell>
        </row>
        <row r="576">
          <cell r="A576" t="str">
            <v>Lichenopora hispida</v>
          </cell>
          <cell r="B576">
            <v>597</v>
          </cell>
        </row>
        <row r="577">
          <cell r="A577" t="str">
            <v>Lichenopora sp.</v>
          </cell>
          <cell r="B577">
            <v>1161</v>
          </cell>
        </row>
        <row r="578">
          <cell r="A578" t="str">
            <v>Lichenopora verrucata</v>
          </cell>
          <cell r="B578">
            <v>598</v>
          </cell>
        </row>
        <row r="579">
          <cell r="A579" t="str">
            <v>Limapontia cocksi</v>
          </cell>
          <cell r="B579">
            <v>416</v>
          </cell>
        </row>
        <row r="580">
          <cell r="A580" t="str">
            <v>Limnodrillus sp.</v>
          </cell>
          <cell r="B580">
            <v>827</v>
          </cell>
        </row>
        <row r="581">
          <cell r="A581" t="str">
            <v>Limnoria lignorum</v>
          </cell>
          <cell r="B581">
            <v>262</v>
          </cell>
        </row>
        <row r="582">
          <cell r="A582" t="str">
            <v>Lineus sp.</v>
          </cell>
          <cell r="B582">
            <v>932</v>
          </cell>
        </row>
        <row r="583">
          <cell r="A583" t="str">
            <v>Liocyma fluctuosa</v>
          </cell>
          <cell r="B583">
            <v>1039</v>
          </cell>
        </row>
        <row r="584">
          <cell r="A584" t="str">
            <v>Lithothamnion sp.</v>
          </cell>
          <cell r="B584">
            <v>961</v>
          </cell>
        </row>
        <row r="585">
          <cell r="A585" t="str">
            <v>Littorina fabalis</v>
          </cell>
          <cell r="B585">
            <v>378</v>
          </cell>
        </row>
        <row r="586">
          <cell r="A586" t="str">
            <v>Littorina littorea</v>
          </cell>
          <cell r="B586">
            <v>379</v>
          </cell>
        </row>
        <row r="587">
          <cell r="A587" t="str">
            <v>Littorina obtusata</v>
          </cell>
          <cell r="B587">
            <v>380</v>
          </cell>
        </row>
        <row r="588">
          <cell r="A588" t="str">
            <v>Littorina saxatilis</v>
          </cell>
          <cell r="B588">
            <v>381</v>
          </cell>
        </row>
        <row r="589">
          <cell r="A589" t="str">
            <v>Littorina sp.</v>
          </cell>
          <cell r="B589">
            <v>382</v>
          </cell>
        </row>
        <row r="590">
          <cell r="A590" t="str">
            <v>Lucernaria quadricornis</v>
          </cell>
          <cell r="B590">
            <v>104</v>
          </cell>
        </row>
        <row r="591">
          <cell r="A591" t="str">
            <v>Lumbricillus sp.</v>
          </cell>
          <cell r="B591">
            <v>831</v>
          </cell>
        </row>
        <row r="592">
          <cell r="A592" t="str">
            <v>Lumbrinereis fragilis</v>
          </cell>
          <cell r="B592">
            <v>824</v>
          </cell>
        </row>
        <row r="593">
          <cell r="A593" t="str">
            <v>Lumbrinereis sp.</v>
          </cell>
          <cell r="B593">
            <v>1085</v>
          </cell>
        </row>
        <row r="594">
          <cell r="A594" t="str">
            <v>Lunatia pallida</v>
          </cell>
          <cell r="B594">
            <v>341</v>
          </cell>
        </row>
        <row r="595">
          <cell r="A595" t="str">
            <v>Lyonsia arenosa</v>
          </cell>
          <cell r="B595">
            <v>467</v>
          </cell>
        </row>
        <row r="596">
          <cell r="A596" t="str">
            <v>Lyonsiella abyssicola</v>
          </cell>
          <cell r="B596">
            <v>468</v>
          </cell>
        </row>
        <row r="597">
          <cell r="A597" t="str">
            <v>Lysippe labiata</v>
          </cell>
          <cell r="B597">
            <v>661</v>
          </cell>
        </row>
        <row r="598">
          <cell r="A598" t="str">
            <v>Lyssianassidae</v>
          </cell>
          <cell r="B598">
            <v>1074</v>
          </cell>
        </row>
        <row r="599">
          <cell r="A599" t="str">
            <v>Lyssianassidae</v>
          </cell>
          <cell r="B599">
            <v>142</v>
          </cell>
        </row>
        <row r="600">
          <cell r="A600" t="str">
            <v>Macoma balthica</v>
          </cell>
          <cell r="B600">
            <v>435</v>
          </cell>
        </row>
        <row r="601">
          <cell r="A601" t="str">
            <v>Macoma calcarea</v>
          </cell>
          <cell r="B601">
            <v>436</v>
          </cell>
        </row>
        <row r="602">
          <cell r="A602" t="str">
            <v>Macoma moesta</v>
          </cell>
          <cell r="B602">
            <v>1108</v>
          </cell>
        </row>
        <row r="603">
          <cell r="A603" t="str">
            <v>Macoma sp.</v>
          </cell>
          <cell r="B603">
            <v>437</v>
          </cell>
        </row>
        <row r="604">
          <cell r="A604" t="str">
            <v>Macoma torelli</v>
          </cell>
          <cell r="B604">
            <v>438</v>
          </cell>
        </row>
        <row r="605">
          <cell r="A605" t="str">
            <v>Mactra elliptica</v>
          </cell>
          <cell r="B605">
            <v>1040</v>
          </cell>
        </row>
        <row r="606">
          <cell r="A606" t="str">
            <v>Maldane arctica</v>
          </cell>
          <cell r="B606">
            <v>1160</v>
          </cell>
        </row>
        <row r="607">
          <cell r="A607" t="str">
            <v>Maldane sarsi</v>
          </cell>
          <cell r="B607">
            <v>620</v>
          </cell>
        </row>
        <row r="608">
          <cell r="A608" t="str">
            <v>Maldanidae</v>
          </cell>
          <cell r="B608">
            <v>621</v>
          </cell>
        </row>
        <row r="609">
          <cell r="A609" t="str">
            <v>Manayunkia aestuarina</v>
          </cell>
          <cell r="B609">
            <v>1196</v>
          </cell>
        </row>
        <row r="610">
          <cell r="A610" t="str">
            <v>Manayunkia polaris</v>
          </cell>
          <cell r="B610">
            <v>1134</v>
          </cell>
        </row>
        <row r="611">
          <cell r="A611" t="str">
            <v>Manayunkia sp.</v>
          </cell>
          <cell r="B611">
            <v>801</v>
          </cell>
        </row>
        <row r="612">
          <cell r="A612" t="str">
            <v>Marenzelleria annencovae</v>
          </cell>
          <cell r="B612">
            <v>727</v>
          </cell>
        </row>
        <row r="613">
          <cell r="A613" t="str">
            <v>Marenzelleria wireni</v>
          </cell>
          <cell r="B613">
            <v>728</v>
          </cell>
        </row>
        <row r="614">
          <cell r="A614" t="str">
            <v>Margarites costalis</v>
          </cell>
          <cell r="B614">
            <v>403</v>
          </cell>
        </row>
        <row r="615">
          <cell r="A615" t="str">
            <v>Margarites groenlandicus</v>
          </cell>
          <cell r="B615">
            <v>404</v>
          </cell>
        </row>
        <row r="616">
          <cell r="A616" t="str">
            <v>Margarites helicinus</v>
          </cell>
          <cell r="B616">
            <v>405</v>
          </cell>
        </row>
        <row r="617">
          <cell r="A617" t="str">
            <v>Margarites olivaceus</v>
          </cell>
          <cell r="B617">
            <v>406</v>
          </cell>
        </row>
        <row r="618">
          <cell r="A618" t="str">
            <v>Margarites sp.</v>
          </cell>
          <cell r="B618">
            <v>407</v>
          </cell>
        </row>
        <row r="619">
          <cell r="A619" t="str">
            <v>Margarites vahlii</v>
          </cell>
          <cell r="B619">
            <v>408</v>
          </cell>
        </row>
        <row r="620">
          <cell r="A620" t="str">
            <v>Marinogammarus finmarchicus</v>
          </cell>
          <cell r="B620">
            <v>191</v>
          </cell>
        </row>
        <row r="621">
          <cell r="A621" t="str">
            <v>Marinogammarus obtusatus</v>
          </cell>
          <cell r="B621">
            <v>192</v>
          </cell>
        </row>
        <row r="622">
          <cell r="A622" t="str">
            <v>Marsenina glabra</v>
          </cell>
          <cell r="B622">
            <v>345</v>
          </cell>
        </row>
        <row r="623">
          <cell r="A623" t="str">
            <v>Meiodiscus spetsbergensis</v>
          </cell>
          <cell r="B623">
            <v>1185</v>
          </cell>
        </row>
        <row r="624">
          <cell r="A624" t="str">
            <v>Melaenis loveni</v>
          </cell>
          <cell r="B624">
            <v>704</v>
          </cell>
        </row>
        <row r="625">
          <cell r="A625" t="str">
            <v>Melinna cristata</v>
          </cell>
          <cell r="B625">
            <v>662</v>
          </cell>
        </row>
        <row r="626">
          <cell r="A626" t="str">
            <v>Melinna elisabethae</v>
          </cell>
          <cell r="B626">
            <v>663</v>
          </cell>
        </row>
        <row r="627">
          <cell r="A627" t="str">
            <v>Melinnexis arctica</v>
          </cell>
          <cell r="B627">
            <v>1041</v>
          </cell>
        </row>
        <row r="628">
          <cell r="A628" t="str">
            <v>Melita dentata</v>
          </cell>
          <cell r="B628">
            <v>193</v>
          </cell>
        </row>
        <row r="629">
          <cell r="A629" t="str">
            <v>Melita formosa</v>
          </cell>
          <cell r="B629">
            <v>1101</v>
          </cell>
        </row>
        <row r="630">
          <cell r="A630" t="str">
            <v>Melita palmata</v>
          </cell>
          <cell r="B630">
            <v>194</v>
          </cell>
        </row>
        <row r="631">
          <cell r="A631" t="str">
            <v>Melphidippe goesi</v>
          </cell>
          <cell r="B631">
            <v>210</v>
          </cell>
        </row>
        <row r="632">
          <cell r="A632" t="str">
            <v>Menesto truncatula</v>
          </cell>
          <cell r="B632">
            <v>338</v>
          </cell>
        </row>
        <row r="633">
          <cell r="A633" t="str">
            <v>Menigrates obtusifrons</v>
          </cell>
          <cell r="B633">
            <v>143</v>
          </cell>
        </row>
        <row r="634">
          <cell r="A634" t="str">
            <v>Merenzellaria arctia</v>
          </cell>
          <cell r="B634">
            <v>1042</v>
          </cell>
        </row>
        <row r="635">
          <cell r="A635" t="str">
            <v>Merenzellaria wireni</v>
          </cell>
          <cell r="B635">
            <v>1043</v>
          </cell>
        </row>
        <row r="636">
          <cell r="A636" t="str">
            <v>Mesogloia vermiculata</v>
          </cell>
          <cell r="B636">
            <v>979</v>
          </cell>
        </row>
        <row r="637">
          <cell r="A637" t="str">
            <v>Metopa alderi</v>
          </cell>
          <cell r="B637">
            <v>211</v>
          </cell>
        </row>
        <row r="638">
          <cell r="A638" t="str">
            <v>Metopa norvegica</v>
          </cell>
          <cell r="B638">
            <v>212</v>
          </cell>
        </row>
        <row r="639">
          <cell r="A639" t="str">
            <v>Metopa palmata</v>
          </cell>
          <cell r="B639">
            <v>213</v>
          </cell>
        </row>
        <row r="640">
          <cell r="A640" t="str">
            <v>Metopa pusilla</v>
          </cell>
          <cell r="B640">
            <v>214</v>
          </cell>
        </row>
        <row r="641">
          <cell r="A641" t="str">
            <v>Metopa robusta</v>
          </cell>
          <cell r="B641">
            <v>215</v>
          </cell>
        </row>
        <row r="642">
          <cell r="A642" t="str">
            <v>Metridium senile</v>
          </cell>
          <cell r="B642">
            <v>98</v>
          </cell>
        </row>
        <row r="643">
          <cell r="A643" t="str">
            <v>Microciona armata</v>
          </cell>
          <cell r="B643">
            <v>860</v>
          </cell>
        </row>
        <row r="644">
          <cell r="A644" t="str">
            <v>Microciona heterotoxa</v>
          </cell>
          <cell r="B644">
            <v>861</v>
          </cell>
        </row>
        <row r="645">
          <cell r="A645" t="str">
            <v>Microcosmus glacialis</v>
          </cell>
          <cell r="B645">
            <v>904</v>
          </cell>
        </row>
        <row r="646">
          <cell r="A646" t="str">
            <v>Microcosmus sp.</v>
          </cell>
          <cell r="B646">
            <v>1115</v>
          </cell>
        </row>
        <row r="647">
          <cell r="A647" t="str">
            <v>Microdeutopus damonsiensis</v>
          </cell>
          <cell r="B647">
            <v>1046</v>
          </cell>
        </row>
        <row r="648">
          <cell r="A648" t="str">
            <v>Microdeutopus sp.</v>
          </cell>
          <cell r="B648">
            <v>1063</v>
          </cell>
        </row>
        <row r="649">
          <cell r="A649" t="str">
            <v>Microphthalmus sczelkowii</v>
          </cell>
          <cell r="B649">
            <v>778</v>
          </cell>
        </row>
        <row r="650">
          <cell r="A650" t="str">
            <v>Microporella ciliata</v>
          </cell>
          <cell r="B650">
            <v>564</v>
          </cell>
        </row>
        <row r="651">
          <cell r="A651" t="str">
            <v>Milnedwasia polaris</v>
          </cell>
          <cell r="B651">
            <v>95</v>
          </cell>
        </row>
        <row r="652">
          <cell r="A652" t="str">
            <v>Minuspio cirrifera</v>
          </cell>
          <cell r="B652">
            <v>733</v>
          </cell>
        </row>
        <row r="653">
          <cell r="A653" t="str">
            <v>Modiolus modiolus</v>
          </cell>
          <cell r="B653">
            <v>451</v>
          </cell>
        </row>
        <row r="654">
          <cell r="A654" t="str">
            <v>Moelleria costulata</v>
          </cell>
          <cell r="B654">
            <v>411</v>
          </cell>
        </row>
        <row r="655">
          <cell r="A655" t="str">
            <v>Mohrensternia interrupta</v>
          </cell>
          <cell r="B655">
            <v>369</v>
          </cell>
        </row>
        <row r="656">
          <cell r="A656" t="str">
            <v>Molgula arctica</v>
          </cell>
          <cell r="B656">
            <v>906</v>
          </cell>
        </row>
        <row r="657">
          <cell r="A657" t="str">
            <v>Molgula crystallina</v>
          </cell>
          <cell r="B657">
            <v>907</v>
          </cell>
        </row>
        <row r="658">
          <cell r="A658" t="str">
            <v>Molgula cytrina</v>
          </cell>
          <cell r="B658">
            <v>908</v>
          </cell>
        </row>
        <row r="659">
          <cell r="A659" t="str">
            <v>Molgula grifithsii</v>
          </cell>
          <cell r="B659">
            <v>909</v>
          </cell>
        </row>
        <row r="660">
          <cell r="A660" t="str">
            <v>Molgula manhattensis</v>
          </cell>
          <cell r="B660">
            <v>1112</v>
          </cell>
        </row>
        <row r="661">
          <cell r="A661" t="str">
            <v>Molgula retortiformis</v>
          </cell>
          <cell r="B661">
            <v>910</v>
          </cell>
        </row>
        <row r="662">
          <cell r="A662" t="str">
            <v>Molgula siphonalis</v>
          </cell>
          <cell r="B662">
            <v>1098</v>
          </cell>
        </row>
        <row r="663">
          <cell r="A663" t="str">
            <v>Molgula sp.</v>
          </cell>
          <cell r="B663">
            <v>911</v>
          </cell>
        </row>
        <row r="664">
          <cell r="A664" t="str">
            <v>Monobrachium parasitum</v>
          </cell>
          <cell r="B664">
            <v>88</v>
          </cell>
        </row>
        <row r="665">
          <cell r="A665" t="str">
            <v>Monoculodes borealis</v>
          </cell>
          <cell r="B665">
            <v>112</v>
          </cell>
        </row>
        <row r="666">
          <cell r="A666" t="str">
            <v>Monoculodes hanseni</v>
          </cell>
          <cell r="B666">
            <v>1140</v>
          </cell>
        </row>
        <row r="667">
          <cell r="A667" t="str">
            <v>Monoculodes latimanus</v>
          </cell>
          <cell r="B667">
            <v>113</v>
          </cell>
        </row>
        <row r="668">
          <cell r="A668" t="str">
            <v>Monoculodes longirostris</v>
          </cell>
          <cell r="B668">
            <v>114</v>
          </cell>
        </row>
        <row r="669">
          <cell r="A669" t="str">
            <v>Monoculodes packardi</v>
          </cell>
          <cell r="B669">
            <v>115</v>
          </cell>
        </row>
        <row r="670">
          <cell r="A670" t="str">
            <v>Monoculodes schneideri</v>
          </cell>
          <cell r="B670">
            <v>116</v>
          </cell>
        </row>
        <row r="671">
          <cell r="A671" t="str">
            <v>Monoculodes simplex</v>
          </cell>
          <cell r="B671">
            <v>117</v>
          </cell>
        </row>
        <row r="672">
          <cell r="A672" t="str">
            <v>Monoculodes sp.</v>
          </cell>
          <cell r="B672">
            <v>119</v>
          </cell>
        </row>
        <row r="673">
          <cell r="A673" t="str">
            <v>Monoculodes tesselatus</v>
          </cell>
          <cell r="B673">
            <v>118</v>
          </cell>
        </row>
        <row r="674">
          <cell r="A674" t="str">
            <v>Monoculopsis longicornis</v>
          </cell>
          <cell r="B674">
            <v>1047</v>
          </cell>
        </row>
        <row r="675">
          <cell r="A675" t="str">
            <v>Monostroma grivelli</v>
          </cell>
          <cell r="B675">
            <v>1004</v>
          </cell>
        </row>
        <row r="676">
          <cell r="A676" t="str">
            <v>Montacuta maltzani</v>
          </cell>
          <cell r="B676">
            <v>439</v>
          </cell>
        </row>
        <row r="677">
          <cell r="A677" t="str">
            <v>Munna fabricii</v>
          </cell>
          <cell r="B677">
            <v>263</v>
          </cell>
        </row>
        <row r="678">
          <cell r="A678" t="str">
            <v>Musculus corrugatus</v>
          </cell>
          <cell r="B678">
            <v>452</v>
          </cell>
        </row>
        <row r="679">
          <cell r="A679" t="str">
            <v>Musculus discors</v>
          </cell>
          <cell r="B679">
            <v>453</v>
          </cell>
        </row>
        <row r="680">
          <cell r="A680" t="str">
            <v>Musculus laevigatus</v>
          </cell>
          <cell r="B680">
            <v>454</v>
          </cell>
        </row>
        <row r="681">
          <cell r="A681" t="str">
            <v>Musculus niger</v>
          </cell>
          <cell r="B681">
            <v>455</v>
          </cell>
        </row>
        <row r="682">
          <cell r="A682" t="str">
            <v>Musculus sp.</v>
          </cell>
          <cell r="B682">
            <v>456</v>
          </cell>
        </row>
        <row r="683">
          <cell r="A683" t="str">
            <v>Mya arenaria</v>
          </cell>
          <cell r="B683">
            <v>440</v>
          </cell>
        </row>
        <row r="684">
          <cell r="A684" t="str">
            <v>Mya sp.</v>
          </cell>
          <cell r="B684">
            <v>441</v>
          </cell>
        </row>
        <row r="685">
          <cell r="A685" t="str">
            <v>Mya truncata</v>
          </cell>
          <cell r="B685">
            <v>442</v>
          </cell>
        </row>
        <row r="686">
          <cell r="A686" t="str">
            <v>Mycale lobata</v>
          </cell>
          <cell r="B686">
            <v>875</v>
          </cell>
        </row>
        <row r="687">
          <cell r="A687" t="str">
            <v>Mycale thaumatochela</v>
          </cell>
          <cell r="B687">
            <v>876</v>
          </cell>
        </row>
        <row r="688">
          <cell r="A688" t="str">
            <v>Myriochele heeri</v>
          </cell>
          <cell r="B688">
            <v>647</v>
          </cell>
        </row>
        <row r="689">
          <cell r="A689" t="str">
            <v>Myriochele oculata</v>
          </cell>
          <cell r="B689">
            <v>646</v>
          </cell>
        </row>
        <row r="690">
          <cell r="A690" t="str">
            <v>Myriotrochus rinckii</v>
          </cell>
          <cell r="B690">
            <v>1048</v>
          </cell>
        </row>
        <row r="691">
          <cell r="A691" t="str">
            <v>Mysis sp.</v>
          </cell>
          <cell r="B691">
            <v>266</v>
          </cell>
        </row>
        <row r="692">
          <cell r="A692" t="str">
            <v>Mysta barbata</v>
          </cell>
          <cell r="B692">
            <v>1049</v>
          </cell>
        </row>
        <row r="693">
          <cell r="A693" t="str">
            <v>Mystides borealis</v>
          </cell>
          <cell r="B693">
            <v>1127</v>
          </cell>
        </row>
        <row r="694">
          <cell r="A694" t="str">
            <v>Mystides sp.</v>
          </cell>
          <cell r="B694">
            <v>714</v>
          </cell>
        </row>
        <row r="695">
          <cell r="A695" t="str">
            <v>Mytilus edulis</v>
          </cell>
          <cell r="B695">
            <v>457</v>
          </cell>
        </row>
        <row r="696">
          <cell r="A696" t="str">
            <v>Myxilla brunnea</v>
          </cell>
          <cell r="B696">
            <v>871</v>
          </cell>
        </row>
        <row r="697">
          <cell r="A697" t="str">
            <v>Myxilla incrustans</v>
          </cell>
          <cell r="B697">
            <v>872</v>
          </cell>
        </row>
        <row r="698">
          <cell r="A698" t="str">
            <v>Nainereis quadricuspida</v>
          </cell>
          <cell r="B698">
            <v>744</v>
          </cell>
        </row>
        <row r="699">
          <cell r="A699" t="str">
            <v>Nais elinguis</v>
          </cell>
          <cell r="B699">
            <v>1176</v>
          </cell>
        </row>
        <row r="700">
          <cell r="A700" t="str">
            <v>Naticidae</v>
          </cell>
          <cell r="B700">
            <v>1123</v>
          </cell>
        </row>
        <row r="701">
          <cell r="A701" t="str">
            <v>Neactaeonina umbilicalis</v>
          </cell>
          <cell r="B701">
            <v>417</v>
          </cell>
        </row>
        <row r="702">
          <cell r="A702" t="str">
            <v>Neiromira punctata</v>
          </cell>
          <cell r="B702">
            <v>779</v>
          </cell>
        </row>
        <row r="703">
          <cell r="A703" t="str">
            <v>Nemertini</v>
          </cell>
          <cell r="B703">
            <v>933</v>
          </cell>
        </row>
        <row r="704">
          <cell r="A704" t="str">
            <v>Nemidia torelli</v>
          </cell>
          <cell r="B704">
            <v>705</v>
          </cell>
        </row>
        <row r="705">
          <cell r="A705" t="str">
            <v>Neoamphitrite affinis</v>
          </cell>
          <cell r="B705">
            <v>673</v>
          </cell>
        </row>
        <row r="706">
          <cell r="A706" t="str">
            <v>Neoamphitrite figulis</v>
          </cell>
          <cell r="B706">
            <v>674</v>
          </cell>
        </row>
        <row r="707">
          <cell r="A707" t="str">
            <v>Neoamphitrite sp.</v>
          </cell>
          <cell r="B707">
            <v>675</v>
          </cell>
        </row>
        <row r="708">
          <cell r="A708" t="str">
            <v>Neoiphinoe kroeyeri</v>
          </cell>
          <cell r="B708">
            <v>1050</v>
          </cell>
        </row>
        <row r="709">
          <cell r="A709" t="str">
            <v>Neopleustes pulchellus</v>
          </cell>
          <cell r="B709">
            <v>216</v>
          </cell>
        </row>
        <row r="710">
          <cell r="A710" t="str">
            <v>Nephthys ciliata</v>
          </cell>
          <cell r="B710">
            <v>780</v>
          </cell>
        </row>
        <row r="711">
          <cell r="A711" t="str">
            <v>Nephthys coeca</v>
          </cell>
          <cell r="B711">
            <v>781</v>
          </cell>
        </row>
        <row r="712">
          <cell r="A712" t="str">
            <v>Nephthys longisetosa</v>
          </cell>
          <cell r="B712">
            <v>782</v>
          </cell>
        </row>
        <row r="713">
          <cell r="A713" t="str">
            <v>Nephthys malmgreni</v>
          </cell>
          <cell r="B713">
            <v>783</v>
          </cell>
        </row>
        <row r="714">
          <cell r="A714" t="str">
            <v>Nephthys minuta</v>
          </cell>
          <cell r="B714">
            <v>784</v>
          </cell>
        </row>
        <row r="715">
          <cell r="A715" t="str">
            <v>Nephthys neotena</v>
          </cell>
          <cell r="B715">
            <v>1018</v>
          </cell>
        </row>
        <row r="716">
          <cell r="A716" t="str">
            <v>Nephthys paradoxa</v>
          </cell>
          <cell r="B716">
            <v>785</v>
          </cell>
        </row>
        <row r="717">
          <cell r="A717" t="str">
            <v>Nephthys sp.</v>
          </cell>
          <cell r="B717">
            <v>786</v>
          </cell>
        </row>
        <row r="718">
          <cell r="A718" t="str">
            <v>Neptunea borealis</v>
          </cell>
          <cell r="B718">
            <v>1126</v>
          </cell>
        </row>
        <row r="719">
          <cell r="A719" t="str">
            <v>Neptunea communis</v>
          </cell>
          <cell r="B719">
            <v>362</v>
          </cell>
        </row>
        <row r="720">
          <cell r="A720" t="str">
            <v>Neptunea despecta</v>
          </cell>
          <cell r="B720">
            <v>363</v>
          </cell>
        </row>
        <row r="721">
          <cell r="A721" t="str">
            <v>Neptunea ventricosa</v>
          </cell>
          <cell r="B721">
            <v>364</v>
          </cell>
        </row>
        <row r="722">
          <cell r="A722" t="str">
            <v>Nereis pelagica</v>
          </cell>
          <cell r="B722">
            <v>787</v>
          </cell>
        </row>
        <row r="723">
          <cell r="A723" t="str">
            <v>Nereis sp.</v>
          </cell>
          <cell r="B723">
            <v>788</v>
          </cell>
        </row>
        <row r="724">
          <cell r="A724" t="str">
            <v>Nicania montagui</v>
          </cell>
          <cell r="B724">
            <v>427</v>
          </cell>
        </row>
        <row r="725">
          <cell r="A725" t="str">
            <v>Nicolea venustula</v>
          </cell>
          <cell r="B725">
            <v>1131</v>
          </cell>
        </row>
        <row r="726">
          <cell r="A726" t="str">
            <v>Nicolea zostericola</v>
          </cell>
          <cell r="B726">
            <v>676</v>
          </cell>
        </row>
        <row r="727">
          <cell r="A727" t="str">
            <v>Nicomache lumbricalis</v>
          </cell>
          <cell r="B727">
            <v>622</v>
          </cell>
        </row>
        <row r="728">
          <cell r="A728" t="str">
            <v>Nicomache minor</v>
          </cell>
          <cell r="B728">
            <v>623</v>
          </cell>
        </row>
        <row r="729">
          <cell r="A729" t="str">
            <v>Nicomache quadrispina</v>
          </cell>
          <cell r="B729">
            <v>624</v>
          </cell>
        </row>
        <row r="730">
          <cell r="A730" t="str">
            <v>Nicomache sp.</v>
          </cell>
          <cell r="B730">
            <v>625</v>
          </cell>
        </row>
        <row r="731">
          <cell r="A731" t="str">
            <v>Notomastus latericeus</v>
          </cell>
          <cell r="B731">
            <v>645</v>
          </cell>
        </row>
        <row r="732">
          <cell r="A732" t="str">
            <v>Notoplana atomata</v>
          </cell>
          <cell r="B732">
            <v>934</v>
          </cell>
        </row>
        <row r="733">
          <cell r="A733" t="str">
            <v>Notoproctus oculatus</v>
          </cell>
          <cell r="B733">
            <v>1159</v>
          </cell>
        </row>
        <row r="734">
          <cell r="A734" t="str">
            <v>Nucella lapillus</v>
          </cell>
          <cell r="B734">
            <v>365</v>
          </cell>
        </row>
        <row r="735">
          <cell r="A735" t="str">
            <v>Nuculana minuta</v>
          </cell>
          <cell r="B735">
            <v>459</v>
          </cell>
        </row>
        <row r="736">
          <cell r="A736" t="str">
            <v>Nuculana pernula</v>
          </cell>
          <cell r="B736">
            <v>460</v>
          </cell>
        </row>
        <row r="737">
          <cell r="A737" t="str">
            <v>Nuculana sp.</v>
          </cell>
          <cell r="B737">
            <v>461</v>
          </cell>
        </row>
        <row r="738">
          <cell r="A738" t="str">
            <v>Nudibranchia</v>
          </cell>
          <cell r="B738">
            <v>418</v>
          </cell>
        </row>
        <row r="739">
          <cell r="A739" t="str">
            <v>Nymphon braevirostrae</v>
          </cell>
          <cell r="B739">
            <v>271</v>
          </cell>
        </row>
        <row r="740">
          <cell r="A740" t="str">
            <v>Nymphon grossipes</v>
          </cell>
          <cell r="B740">
            <v>272</v>
          </cell>
        </row>
        <row r="741">
          <cell r="A741" t="str">
            <v>Nymphon longitarse</v>
          </cell>
          <cell r="B741">
            <v>273</v>
          </cell>
        </row>
        <row r="742">
          <cell r="A742" t="str">
            <v>Nymphon micronix</v>
          </cell>
          <cell r="B742">
            <v>274</v>
          </cell>
        </row>
        <row r="743">
          <cell r="A743" t="str">
            <v>Nymphon rubrum</v>
          </cell>
          <cell r="B743">
            <v>275</v>
          </cell>
        </row>
        <row r="744">
          <cell r="A744" t="str">
            <v>Nymphon sp.</v>
          </cell>
          <cell r="B744">
            <v>276</v>
          </cell>
        </row>
        <row r="745">
          <cell r="A745" t="str">
            <v>Obelia flexuosa</v>
          </cell>
          <cell r="B745">
            <v>52</v>
          </cell>
        </row>
        <row r="746">
          <cell r="A746" t="str">
            <v>Obelia geniculata</v>
          </cell>
          <cell r="B746">
            <v>53</v>
          </cell>
        </row>
        <row r="747">
          <cell r="A747" t="str">
            <v>Obelia longissima</v>
          </cell>
          <cell r="B747">
            <v>1188</v>
          </cell>
        </row>
        <row r="748">
          <cell r="A748" t="str">
            <v>Obelia sp.</v>
          </cell>
          <cell r="B748">
            <v>54</v>
          </cell>
        </row>
        <row r="749">
          <cell r="A749" t="str">
            <v>Obestoma gigas</v>
          </cell>
          <cell r="B749">
            <v>302</v>
          </cell>
        </row>
        <row r="750">
          <cell r="A750" t="str">
            <v>Obestoma simplex</v>
          </cell>
          <cell r="B750">
            <v>303</v>
          </cell>
        </row>
        <row r="751">
          <cell r="A751" t="str">
            <v>Odonthalia dentata</v>
          </cell>
          <cell r="B751">
            <v>956</v>
          </cell>
        </row>
        <row r="752">
          <cell r="A752" t="str">
            <v>Oediceros borealis</v>
          </cell>
          <cell r="B752">
            <v>120</v>
          </cell>
        </row>
        <row r="753">
          <cell r="A753" t="str">
            <v>Oediceros saginatus</v>
          </cell>
          <cell r="B753">
            <v>121</v>
          </cell>
        </row>
        <row r="754">
          <cell r="A754" t="str">
            <v>Oedicerotidae</v>
          </cell>
          <cell r="B754">
            <v>1075</v>
          </cell>
        </row>
        <row r="755">
          <cell r="A755" t="str">
            <v>Oenopota cancellata</v>
          </cell>
          <cell r="B755">
            <v>304</v>
          </cell>
        </row>
        <row r="756">
          <cell r="A756" t="str">
            <v>Oenopota harpa</v>
          </cell>
          <cell r="B756">
            <v>305</v>
          </cell>
        </row>
        <row r="757">
          <cell r="A757" t="str">
            <v>Oenopota obliqua</v>
          </cell>
          <cell r="B757">
            <v>306</v>
          </cell>
        </row>
        <row r="758">
          <cell r="A758" t="str">
            <v>Oenopota pingelii</v>
          </cell>
          <cell r="B758">
            <v>307</v>
          </cell>
        </row>
        <row r="759">
          <cell r="A759" t="str">
            <v>Oenopota pyramidalis</v>
          </cell>
          <cell r="B759">
            <v>308</v>
          </cell>
        </row>
        <row r="760">
          <cell r="A760" t="str">
            <v>Oenopota sp.</v>
          </cell>
          <cell r="B760">
            <v>309</v>
          </cell>
        </row>
        <row r="761">
          <cell r="A761" t="str">
            <v>Oenopota tenuicostata</v>
          </cell>
          <cell r="B761">
            <v>1135</v>
          </cell>
        </row>
        <row r="762">
          <cell r="A762" t="str">
            <v>Oligochaeta</v>
          </cell>
          <cell r="B762">
            <v>832</v>
          </cell>
        </row>
        <row r="763">
          <cell r="A763" t="str">
            <v>Omalogyra atomus</v>
          </cell>
          <cell r="B763">
            <v>394</v>
          </cell>
        </row>
        <row r="764">
          <cell r="A764" t="str">
            <v>Onchidoris bilamellata</v>
          </cell>
          <cell r="B764">
            <v>292</v>
          </cell>
        </row>
        <row r="765">
          <cell r="A765" t="str">
            <v>Onchidoris muricata</v>
          </cell>
          <cell r="B765">
            <v>293</v>
          </cell>
        </row>
        <row r="766">
          <cell r="A766" t="str">
            <v>Onchidoris sp.</v>
          </cell>
          <cell r="B766">
            <v>294</v>
          </cell>
        </row>
        <row r="767">
          <cell r="A767" t="str">
            <v>Oncosoecia diastoporoides</v>
          </cell>
          <cell r="B767">
            <v>599</v>
          </cell>
        </row>
        <row r="768">
          <cell r="A768" t="str">
            <v>Oncosoecia dilatans</v>
          </cell>
          <cell r="B768">
            <v>600</v>
          </cell>
        </row>
        <row r="769">
          <cell r="A769" t="str">
            <v>Oncosoecia polygonalis</v>
          </cell>
          <cell r="B769">
            <v>601</v>
          </cell>
        </row>
        <row r="770">
          <cell r="A770" t="str">
            <v>Oncosoecia sp.</v>
          </cell>
          <cell r="B770">
            <v>1166</v>
          </cell>
        </row>
        <row r="771">
          <cell r="A771" t="str">
            <v>Onisimus edwardsi</v>
          </cell>
          <cell r="B771">
            <v>144</v>
          </cell>
        </row>
        <row r="772">
          <cell r="A772" t="str">
            <v>Onisimus plautus</v>
          </cell>
          <cell r="B772">
            <v>145</v>
          </cell>
        </row>
        <row r="773">
          <cell r="A773" t="str">
            <v>Onisimus sp.</v>
          </cell>
          <cell r="B773">
            <v>146</v>
          </cell>
        </row>
        <row r="774">
          <cell r="A774" t="str">
            <v>Onisimus turgidus</v>
          </cell>
          <cell r="B774">
            <v>1111</v>
          </cell>
        </row>
        <row r="775">
          <cell r="A775" t="str">
            <v>Onoba aculeus</v>
          </cell>
          <cell r="B775">
            <v>383</v>
          </cell>
        </row>
        <row r="776">
          <cell r="A776" t="str">
            <v>Onoba jeffreysii</v>
          </cell>
          <cell r="B776">
            <v>384</v>
          </cell>
        </row>
        <row r="777">
          <cell r="A777" t="str">
            <v>Onoba sp.</v>
          </cell>
          <cell r="B777">
            <v>1061</v>
          </cell>
        </row>
        <row r="778">
          <cell r="A778" t="str">
            <v>Onoba verrilli</v>
          </cell>
          <cell r="B778">
            <v>385</v>
          </cell>
        </row>
        <row r="779">
          <cell r="A779" t="str">
            <v>Onuphis sp.</v>
          </cell>
          <cell r="B779">
            <v>1080</v>
          </cell>
        </row>
        <row r="780">
          <cell r="A780" t="str">
            <v>Opercularella nana</v>
          </cell>
          <cell r="B780">
            <v>42</v>
          </cell>
        </row>
        <row r="781">
          <cell r="A781" t="str">
            <v>Ophelia acuminata</v>
          </cell>
          <cell r="B781">
            <v>611</v>
          </cell>
        </row>
        <row r="782">
          <cell r="A782" t="str">
            <v>Ophelia limacina</v>
          </cell>
          <cell r="B782">
            <v>612</v>
          </cell>
        </row>
        <row r="783">
          <cell r="A783" t="str">
            <v>Ophelia sp.</v>
          </cell>
          <cell r="B783">
            <v>613</v>
          </cell>
        </row>
        <row r="784">
          <cell r="A784" t="str">
            <v>Ophelina cylindricaudata</v>
          </cell>
          <cell r="B784">
            <v>1051</v>
          </cell>
        </row>
        <row r="785">
          <cell r="A785" t="str">
            <v>Ophiacantha bidentata</v>
          </cell>
          <cell r="B785">
            <v>838</v>
          </cell>
        </row>
        <row r="786">
          <cell r="A786" t="str">
            <v>Ophiocten sericeum</v>
          </cell>
          <cell r="B786">
            <v>1052</v>
          </cell>
        </row>
        <row r="787">
          <cell r="A787" t="str">
            <v>Ophiopholis aculeata</v>
          </cell>
          <cell r="B787">
            <v>839</v>
          </cell>
        </row>
        <row r="788">
          <cell r="A788" t="str">
            <v>Ophiura robusta</v>
          </cell>
          <cell r="B788">
            <v>840</v>
          </cell>
        </row>
        <row r="789">
          <cell r="A789" t="str">
            <v>Ophiura sarsi</v>
          </cell>
          <cell r="B789">
            <v>841</v>
          </cell>
        </row>
        <row r="790">
          <cell r="A790" t="str">
            <v>Ophryotrocha irinae</v>
          </cell>
          <cell r="B790">
            <v>825</v>
          </cell>
        </row>
        <row r="791">
          <cell r="A791" t="str">
            <v>Opisthobranchia</v>
          </cell>
          <cell r="B791">
            <v>419</v>
          </cell>
        </row>
        <row r="792">
          <cell r="A792" t="str">
            <v>Orchomenella groenlandica</v>
          </cell>
          <cell r="B792">
            <v>147</v>
          </cell>
        </row>
        <row r="793">
          <cell r="A793" t="str">
            <v>Orchomenella minuta</v>
          </cell>
          <cell r="B793">
            <v>148</v>
          </cell>
        </row>
        <row r="794">
          <cell r="A794" t="str">
            <v>Orchomenella pinguis</v>
          </cell>
          <cell r="B794">
            <v>149</v>
          </cell>
        </row>
        <row r="795">
          <cell r="A795" t="str">
            <v>Orchomenella sp.</v>
          </cell>
          <cell r="B795">
            <v>150</v>
          </cell>
        </row>
        <row r="796">
          <cell r="A796" t="str">
            <v>Oscarella lobularis</v>
          </cell>
          <cell r="B796">
            <v>922</v>
          </cell>
        </row>
        <row r="797">
          <cell r="A797" t="str">
            <v>Owenia fusiformis</v>
          </cell>
          <cell r="B797">
            <v>648</v>
          </cell>
        </row>
        <row r="798">
          <cell r="A798" t="str">
            <v>Owenia polaris</v>
          </cell>
          <cell r="B798">
            <v>1128</v>
          </cell>
        </row>
        <row r="799">
          <cell r="A799" t="str">
            <v>Pagurus pubescens</v>
          </cell>
          <cell r="B799">
            <v>258</v>
          </cell>
        </row>
        <row r="800">
          <cell r="A800" t="str">
            <v>Palio dubia</v>
          </cell>
          <cell r="B800">
            <v>297</v>
          </cell>
        </row>
        <row r="801">
          <cell r="A801" t="str">
            <v>Pandalus annulicornis</v>
          </cell>
          <cell r="B801">
            <v>259</v>
          </cell>
        </row>
        <row r="802">
          <cell r="A802" t="str">
            <v>Pandora glacialis</v>
          </cell>
          <cell r="B802">
            <v>469</v>
          </cell>
        </row>
        <row r="803">
          <cell r="A803" t="str">
            <v>Panomya arctica</v>
          </cell>
          <cell r="B803">
            <v>434</v>
          </cell>
        </row>
        <row r="804">
          <cell r="A804" t="str">
            <v>Pantoneura baeri</v>
          </cell>
          <cell r="B804">
            <v>945</v>
          </cell>
        </row>
        <row r="805">
          <cell r="A805" t="str">
            <v>Pantopoda</v>
          </cell>
          <cell r="B805">
            <v>280</v>
          </cell>
        </row>
        <row r="806">
          <cell r="A806" t="str">
            <v>Paradexiospira cancellata</v>
          </cell>
          <cell r="B806">
            <v>809</v>
          </cell>
        </row>
        <row r="807">
          <cell r="A807" t="str">
            <v>Paradexiospira Paradexiospira sp.</v>
          </cell>
          <cell r="B807">
            <v>808</v>
          </cell>
        </row>
        <row r="808">
          <cell r="A808" t="str">
            <v>Paradexiospira sp.</v>
          </cell>
          <cell r="B808">
            <v>807</v>
          </cell>
        </row>
        <row r="809">
          <cell r="A809" t="str">
            <v>Paradexiospira violacea</v>
          </cell>
          <cell r="B809">
            <v>810</v>
          </cell>
        </row>
        <row r="810">
          <cell r="A810" t="str">
            <v>Paradexiospira vitrea</v>
          </cell>
          <cell r="B810">
            <v>811</v>
          </cell>
        </row>
        <row r="811">
          <cell r="A811" t="str">
            <v>Paraedwardsia arenaria</v>
          </cell>
          <cell r="B811">
            <v>96</v>
          </cell>
        </row>
        <row r="812">
          <cell r="A812" t="str">
            <v>Parajassa pelagica</v>
          </cell>
          <cell r="B812">
            <v>207</v>
          </cell>
        </row>
        <row r="813">
          <cell r="A813" t="str">
            <v>Parajassa sp.</v>
          </cell>
          <cell r="B813">
            <v>208</v>
          </cell>
        </row>
        <row r="814">
          <cell r="A814" t="str">
            <v>Paramphitrite birulai</v>
          </cell>
          <cell r="B814">
            <v>677</v>
          </cell>
        </row>
        <row r="815">
          <cell r="A815" t="str">
            <v>Paramphythoe cuspidata</v>
          </cell>
          <cell r="B815">
            <v>223</v>
          </cell>
        </row>
        <row r="816">
          <cell r="A816" t="str">
            <v>Paranais litoralis</v>
          </cell>
          <cell r="B816">
            <v>833</v>
          </cell>
        </row>
        <row r="817">
          <cell r="A817" t="str">
            <v>Paranaitis wahlbergii</v>
          </cell>
          <cell r="B817">
            <v>715</v>
          </cell>
        </row>
        <row r="818">
          <cell r="A818" t="str">
            <v>Paranoella nordica</v>
          </cell>
          <cell r="B818">
            <v>817</v>
          </cell>
        </row>
        <row r="819">
          <cell r="A819" t="str">
            <v>Paraonidae</v>
          </cell>
          <cell r="B819">
            <v>1119</v>
          </cell>
        </row>
        <row r="820">
          <cell r="A820" t="str">
            <v>Paraonis lyra</v>
          </cell>
          <cell r="B820">
            <v>750</v>
          </cell>
        </row>
        <row r="821">
          <cell r="A821" t="str">
            <v>Paraphoxus oculatus</v>
          </cell>
          <cell r="B821">
            <v>1053</v>
          </cell>
        </row>
        <row r="822">
          <cell r="A822" t="str">
            <v>Parapleustes assimilis</v>
          </cell>
          <cell r="B822">
            <v>217</v>
          </cell>
        </row>
        <row r="823">
          <cell r="A823" t="str">
            <v>Parapleustes bicuspis</v>
          </cell>
          <cell r="B823">
            <v>218</v>
          </cell>
        </row>
        <row r="824">
          <cell r="A824" t="str">
            <v>Parapleustes monocuspis</v>
          </cell>
          <cell r="B824">
            <v>219</v>
          </cell>
        </row>
        <row r="825">
          <cell r="A825" t="str">
            <v>Pardalisca cuspidata</v>
          </cell>
          <cell r="B825">
            <v>197</v>
          </cell>
        </row>
        <row r="826">
          <cell r="A826" t="str">
            <v>Pardalisca tenipes</v>
          </cell>
          <cell r="B826">
            <v>198</v>
          </cell>
        </row>
        <row r="827">
          <cell r="A827" t="str">
            <v>Paredwardsia arenaria</v>
          </cell>
          <cell r="B827">
            <v>102</v>
          </cell>
        </row>
        <row r="828">
          <cell r="A828" t="str">
            <v>Paroediceros intermedius</v>
          </cell>
          <cell r="B828">
            <v>122</v>
          </cell>
        </row>
        <row r="829">
          <cell r="A829" t="str">
            <v>Paroediceros lynceus</v>
          </cell>
          <cell r="B829">
            <v>123</v>
          </cell>
        </row>
        <row r="830">
          <cell r="A830" t="str">
            <v>Paroediceros propinquus</v>
          </cell>
          <cell r="B830">
            <v>124</v>
          </cell>
        </row>
        <row r="831">
          <cell r="A831" t="str">
            <v>Pectinaria granulata</v>
          </cell>
          <cell r="B831">
            <v>689</v>
          </cell>
        </row>
        <row r="832">
          <cell r="A832" t="str">
            <v>Pectinaria hyperborea</v>
          </cell>
          <cell r="B832">
            <v>690</v>
          </cell>
        </row>
        <row r="833">
          <cell r="A833" t="str">
            <v>Pectinaria koreni</v>
          </cell>
          <cell r="B833">
            <v>691</v>
          </cell>
        </row>
        <row r="834">
          <cell r="A834" t="str">
            <v>Pelonaia corrugata</v>
          </cell>
          <cell r="B834">
            <v>1054</v>
          </cell>
        </row>
        <row r="835">
          <cell r="A835" t="str">
            <v>Pelvetia canaliculata</v>
          </cell>
          <cell r="B835">
            <v>994</v>
          </cell>
        </row>
        <row r="836">
          <cell r="A836" t="str">
            <v>Pentamera calcigera</v>
          </cell>
          <cell r="B836">
            <v>853</v>
          </cell>
        </row>
        <row r="837">
          <cell r="A837" t="str">
            <v>Perigonimus roseus</v>
          </cell>
          <cell r="B837">
            <v>35</v>
          </cell>
        </row>
        <row r="838">
          <cell r="A838" t="str">
            <v>Petaloproctus tenuis</v>
          </cell>
          <cell r="B838">
            <v>626</v>
          </cell>
        </row>
        <row r="839">
          <cell r="A839" t="str">
            <v>Petalosarsia declivis</v>
          </cell>
          <cell r="B839">
            <v>249</v>
          </cell>
        </row>
        <row r="840">
          <cell r="A840" t="str">
            <v>Phakellia cribrosa</v>
          </cell>
          <cell r="B840">
            <v>888</v>
          </cell>
        </row>
        <row r="841">
          <cell r="A841" t="str">
            <v>Phascolion strombi</v>
          </cell>
          <cell r="B841">
            <v>1055</v>
          </cell>
        </row>
        <row r="842">
          <cell r="A842" t="str">
            <v>Phascolosomatidae</v>
          </cell>
          <cell r="B842">
            <v>925</v>
          </cell>
        </row>
        <row r="843">
          <cell r="A843" t="str">
            <v>Pherusa plumosa</v>
          </cell>
          <cell r="B843">
            <v>640</v>
          </cell>
        </row>
        <row r="844">
          <cell r="A844" t="str">
            <v>Philine finmarchica</v>
          </cell>
          <cell r="B844">
            <v>1139</v>
          </cell>
        </row>
        <row r="845">
          <cell r="A845" t="str">
            <v>Philine lima</v>
          </cell>
          <cell r="B845">
            <v>395</v>
          </cell>
        </row>
        <row r="846">
          <cell r="A846" t="str">
            <v>Phillinidae</v>
          </cell>
          <cell r="B846">
            <v>396</v>
          </cell>
        </row>
        <row r="847">
          <cell r="A847" t="str">
            <v>Pholoe baltica</v>
          </cell>
          <cell r="B847">
            <v>1186</v>
          </cell>
        </row>
        <row r="848">
          <cell r="A848" t="str">
            <v>Pholoe longa</v>
          </cell>
          <cell r="B848">
            <v>1105</v>
          </cell>
        </row>
        <row r="849">
          <cell r="A849" t="str">
            <v>Pholoe minuta</v>
          </cell>
          <cell r="B849">
            <v>706</v>
          </cell>
        </row>
        <row r="850">
          <cell r="A850" t="str">
            <v>Photidae</v>
          </cell>
          <cell r="B850">
            <v>1124</v>
          </cell>
        </row>
        <row r="851">
          <cell r="A851" t="str">
            <v>Photis reinhardi</v>
          </cell>
          <cell r="B851">
            <v>176</v>
          </cell>
        </row>
        <row r="852">
          <cell r="A852" t="str">
            <v>Phoxichilidium femoratum</v>
          </cell>
          <cell r="B852">
            <v>277</v>
          </cell>
        </row>
        <row r="853">
          <cell r="A853" t="str">
            <v>Phoxocephalidae</v>
          </cell>
          <cell r="B853">
            <v>200</v>
          </cell>
        </row>
        <row r="854">
          <cell r="A854" t="str">
            <v>Phoxocephalus holboelli</v>
          </cell>
          <cell r="B854">
            <v>201</v>
          </cell>
        </row>
        <row r="855">
          <cell r="A855" t="str">
            <v>Phycodrys rubens</v>
          </cell>
          <cell r="B855">
            <v>1178</v>
          </cell>
        </row>
        <row r="856">
          <cell r="A856" t="str">
            <v>Phycodrys sp.</v>
          </cell>
          <cell r="B856">
            <v>946</v>
          </cell>
        </row>
        <row r="857">
          <cell r="A857" t="str">
            <v>Phyllitis fascia</v>
          </cell>
          <cell r="B857">
            <v>987</v>
          </cell>
        </row>
        <row r="858">
          <cell r="A858" t="str">
            <v>Phyllodoce citrina</v>
          </cell>
          <cell r="B858">
            <v>716</v>
          </cell>
        </row>
        <row r="859">
          <cell r="A859" t="str">
            <v>Phyllodoce groenlandica</v>
          </cell>
          <cell r="B859">
            <v>717</v>
          </cell>
        </row>
        <row r="860">
          <cell r="A860" t="str">
            <v>Phyllodoce maculata</v>
          </cell>
          <cell r="B860">
            <v>718</v>
          </cell>
        </row>
        <row r="861">
          <cell r="A861" t="str">
            <v>Phyllodoce mucosa</v>
          </cell>
          <cell r="B861">
            <v>719</v>
          </cell>
        </row>
        <row r="862">
          <cell r="A862" t="str">
            <v>Phyllodoce sp.</v>
          </cell>
          <cell r="B862">
            <v>720</v>
          </cell>
        </row>
        <row r="863">
          <cell r="A863" t="str">
            <v>Phyllodocidae</v>
          </cell>
          <cell r="B863">
            <v>721</v>
          </cell>
        </row>
        <row r="864">
          <cell r="A864" t="str">
            <v>Phyllophora brodiaei</v>
          </cell>
          <cell r="B864">
            <v>950</v>
          </cell>
        </row>
        <row r="865">
          <cell r="A865" t="str">
            <v>Phyllophora interrupta</v>
          </cell>
          <cell r="B865">
            <v>951</v>
          </cell>
        </row>
        <row r="866">
          <cell r="A866" t="str">
            <v>Phyllophora sp.</v>
          </cell>
          <cell r="B866">
            <v>952</v>
          </cell>
        </row>
        <row r="867">
          <cell r="A867" t="str">
            <v>Pileolaria sp.</v>
          </cell>
          <cell r="B867">
            <v>818</v>
          </cell>
        </row>
        <row r="868">
          <cell r="A868" t="str">
            <v>Pista bansei</v>
          </cell>
          <cell r="B868">
            <v>1114</v>
          </cell>
        </row>
        <row r="869">
          <cell r="A869" t="str">
            <v>Pista cristata</v>
          </cell>
          <cell r="B869">
            <v>678</v>
          </cell>
        </row>
        <row r="870">
          <cell r="A870" t="str">
            <v>Pista flexuosa</v>
          </cell>
          <cell r="B870">
            <v>679</v>
          </cell>
        </row>
        <row r="871">
          <cell r="A871" t="str">
            <v>Pista maculata</v>
          </cell>
          <cell r="B871">
            <v>680</v>
          </cell>
        </row>
        <row r="872">
          <cell r="A872" t="str">
            <v>Pista sp.</v>
          </cell>
          <cell r="B872">
            <v>1102</v>
          </cell>
        </row>
        <row r="873">
          <cell r="A873" t="str">
            <v>Pleurogonium inerme</v>
          </cell>
          <cell r="B873">
            <v>264</v>
          </cell>
        </row>
        <row r="874">
          <cell r="A874" t="str">
            <v>Pleustes medius</v>
          </cell>
          <cell r="B874">
            <v>221</v>
          </cell>
        </row>
        <row r="875">
          <cell r="A875" t="str">
            <v>Pleustes panoplus</v>
          </cell>
          <cell r="B875">
            <v>220</v>
          </cell>
        </row>
        <row r="876">
          <cell r="A876" t="str">
            <v>Pleustidae</v>
          </cell>
          <cell r="B876">
            <v>1118</v>
          </cell>
        </row>
        <row r="877">
          <cell r="A877" t="str">
            <v>Plocamia ambigua</v>
          </cell>
          <cell r="B877">
            <v>862</v>
          </cell>
        </row>
        <row r="878">
          <cell r="A878" t="str">
            <v>Plocamia arctica</v>
          </cell>
          <cell r="B878">
            <v>863</v>
          </cell>
        </row>
        <row r="879">
          <cell r="A879" t="str">
            <v>Polychaeta</v>
          </cell>
          <cell r="B879">
            <v>819</v>
          </cell>
        </row>
        <row r="880">
          <cell r="A880" t="str">
            <v>Polychaeta (fragmenta)</v>
          </cell>
          <cell r="B880">
            <v>835</v>
          </cell>
        </row>
        <row r="881">
          <cell r="A881" t="str">
            <v>Polycirrus medusa</v>
          </cell>
          <cell r="B881">
            <v>681</v>
          </cell>
        </row>
        <row r="882">
          <cell r="A882" t="str">
            <v>Polydora caullery</v>
          </cell>
          <cell r="B882">
            <v>734</v>
          </cell>
        </row>
        <row r="883">
          <cell r="A883" t="str">
            <v>Polydora cillata</v>
          </cell>
          <cell r="B883">
            <v>735</v>
          </cell>
        </row>
        <row r="884">
          <cell r="A884" t="str">
            <v>Polydora coeca</v>
          </cell>
          <cell r="B884">
            <v>736</v>
          </cell>
        </row>
        <row r="885">
          <cell r="A885" t="str">
            <v>Polydora flava</v>
          </cell>
          <cell r="B885">
            <v>737</v>
          </cell>
        </row>
        <row r="886">
          <cell r="A886" t="str">
            <v>Polydora quadrilobata</v>
          </cell>
          <cell r="B886">
            <v>738</v>
          </cell>
        </row>
        <row r="887">
          <cell r="A887" t="str">
            <v>Polydora sp.</v>
          </cell>
          <cell r="B887">
            <v>739</v>
          </cell>
        </row>
        <row r="888">
          <cell r="A888" t="str">
            <v>Polymastia mammilaris</v>
          </cell>
          <cell r="B888">
            <v>889</v>
          </cell>
        </row>
        <row r="889">
          <cell r="A889" t="str">
            <v>Polymastia robusta</v>
          </cell>
          <cell r="B889">
            <v>890</v>
          </cell>
        </row>
        <row r="890">
          <cell r="A890" t="str">
            <v>Polymastia sp.</v>
          </cell>
          <cell r="B890">
            <v>1171</v>
          </cell>
        </row>
        <row r="891">
          <cell r="A891" t="str">
            <v>Polynoidae</v>
          </cell>
          <cell r="B891">
            <v>1076</v>
          </cell>
        </row>
        <row r="892">
          <cell r="A892" t="str">
            <v>Polyphysia crassa</v>
          </cell>
          <cell r="B892">
            <v>1056</v>
          </cell>
        </row>
        <row r="893">
          <cell r="A893" t="str">
            <v>Polysiphonia arctica</v>
          </cell>
          <cell r="B893">
            <v>967</v>
          </cell>
        </row>
        <row r="894">
          <cell r="A894" t="str">
            <v>Polysiphonia nigrescens</v>
          </cell>
          <cell r="B894">
            <v>968</v>
          </cell>
        </row>
        <row r="895">
          <cell r="A895" t="str">
            <v>Polysiphonia sp.</v>
          </cell>
          <cell r="B895">
            <v>969</v>
          </cell>
        </row>
        <row r="896">
          <cell r="A896" t="str">
            <v>Polysiphonia urceolata</v>
          </cell>
          <cell r="B896">
            <v>970</v>
          </cell>
        </row>
        <row r="897">
          <cell r="A897" t="str">
            <v>Pontocrates arcticus</v>
          </cell>
          <cell r="B897">
            <v>125</v>
          </cell>
        </row>
        <row r="898">
          <cell r="A898" t="str">
            <v>Pontocrates sp.</v>
          </cell>
          <cell r="B898">
            <v>1144</v>
          </cell>
        </row>
        <row r="899">
          <cell r="A899" t="str">
            <v>Pontoporea affinis</v>
          </cell>
          <cell r="B899">
            <v>1020</v>
          </cell>
        </row>
        <row r="900">
          <cell r="A900" t="str">
            <v>Pontoporea femorata</v>
          </cell>
          <cell r="B900">
            <v>224</v>
          </cell>
        </row>
        <row r="901">
          <cell r="A901" t="str">
            <v>Poraniomorpha tumida</v>
          </cell>
          <cell r="B901">
            <v>851</v>
          </cell>
        </row>
        <row r="902">
          <cell r="A902" t="str">
            <v>Porella acutirostris</v>
          </cell>
          <cell r="B902">
            <v>565</v>
          </cell>
        </row>
        <row r="903">
          <cell r="A903" t="str">
            <v>Porella compressa</v>
          </cell>
          <cell r="B903">
            <v>566</v>
          </cell>
        </row>
        <row r="904">
          <cell r="A904" t="str">
            <v>Porella groenlandica</v>
          </cell>
          <cell r="B904">
            <v>567</v>
          </cell>
        </row>
        <row r="905">
          <cell r="A905" t="str">
            <v>Porella minuta</v>
          </cell>
          <cell r="B905">
            <v>568</v>
          </cell>
        </row>
        <row r="906">
          <cell r="A906" t="str">
            <v>Porella pinceps</v>
          </cell>
          <cell r="B906">
            <v>569</v>
          </cell>
        </row>
        <row r="907">
          <cell r="A907" t="str">
            <v>Porella proboscidea</v>
          </cell>
          <cell r="B907">
            <v>570</v>
          </cell>
        </row>
        <row r="908">
          <cell r="A908" t="str">
            <v>Porella saccarta</v>
          </cell>
          <cell r="B908">
            <v>571</v>
          </cell>
        </row>
        <row r="909">
          <cell r="A909" t="str">
            <v>Porella smitti</v>
          </cell>
          <cell r="B909">
            <v>572</v>
          </cell>
        </row>
        <row r="910">
          <cell r="A910" t="str">
            <v>Porella sp.</v>
          </cell>
          <cell r="B910">
            <v>573</v>
          </cell>
        </row>
        <row r="911">
          <cell r="A911" t="str">
            <v>Porella struma</v>
          </cell>
          <cell r="B911">
            <v>574</v>
          </cell>
        </row>
        <row r="912">
          <cell r="A912" t="str">
            <v>Porifera</v>
          </cell>
          <cell r="B912">
            <v>1013</v>
          </cell>
        </row>
        <row r="913">
          <cell r="A913" t="str">
            <v>Porifera</v>
          </cell>
          <cell r="B913">
            <v>898</v>
          </cell>
        </row>
        <row r="914">
          <cell r="A914" t="str">
            <v>Portlandia aestuariorum</v>
          </cell>
          <cell r="B914">
            <v>463</v>
          </cell>
        </row>
        <row r="915">
          <cell r="A915" t="str">
            <v>Portlandia arctica</v>
          </cell>
          <cell r="B915">
            <v>462</v>
          </cell>
        </row>
        <row r="916">
          <cell r="A916" t="str">
            <v>Portlandia lenticula</v>
          </cell>
          <cell r="B916">
            <v>1090</v>
          </cell>
        </row>
        <row r="917">
          <cell r="A917" t="str">
            <v>Potamilla neglecta</v>
          </cell>
          <cell r="B917">
            <v>802</v>
          </cell>
        </row>
        <row r="918">
          <cell r="A918" t="str">
            <v>Potamilla reniformis</v>
          </cell>
          <cell r="B918">
            <v>803</v>
          </cell>
        </row>
        <row r="919">
          <cell r="A919" t="str">
            <v>Praxillella gracilis</v>
          </cell>
          <cell r="B919">
            <v>1152</v>
          </cell>
        </row>
        <row r="920">
          <cell r="A920" t="str">
            <v>Praxillella praetermissa</v>
          </cell>
          <cell r="B920">
            <v>627</v>
          </cell>
        </row>
        <row r="921">
          <cell r="A921" t="str">
            <v>Praxillura longissima</v>
          </cell>
          <cell r="B921">
            <v>628</v>
          </cell>
        </row>
        <row r="922">
          <cell r="A922" t="str">
            <v>Praxillura sp.</v>
          </cell>
          <cell r="B922">
            <v>1016</v>
          </cell>
        </row>
        <row r="923">
          <cell r="A923" t="str">
            <v>Precuthona chrysanthema</v>
          </cell>
          <cell r="B923">
            <v>329</v>
          </cell>
        </row>
        <row r="924">
          <cell r="A924" t="str">
            <v>Priapulida</v>
          </cell>
          <cell r="B924">
            <v>928</v>
          </cell>
        </row>
        <row r="925">
          <cell r="A925" t="str">
            <v>Priapulus caudatus</v>
          </cell>
          <cell r="B925">
            <v>929</v>
          </cell>
        </row>
        <row r="926">
          <cell r="A926" t="str">
            <v>Priscillina armata</v>
          </cell>
          <cell r="B926">
            <v>225</v>
          </cell>
        </row>
        <row r="927">
          <cell r="A927" t="str">
            <v>Probebella harpularioides</v>
          </cell>
          <cell r="B927">
            <v>310</v>
          </cell>
        </row>
        <row r="928">
          <cell r="A928" t="str">
            <v>Probebella nobilis</v>
          </cell>
          <cell r="B928">
            <v>1153</v>
          </cell>
        </row>
        <row r="929">
          <cell r="A929" t="str">
            <v>Problacmaea rubella</v>
          </cell>
          <cell r="B929">
            <v>413</v>
          </cell>
        </row>
        <row r="930">
          <cell r="A930" t="str">
            <v>Proboscina fecunda</v>
          </cell>
          <cell r="B930">
            <v>602</v>
          </cell>
        </row>
        <row r="931">
          <cell r="A931" t="str">
            <v>Proclea graffi</v>
          </cell>
          <cell r="B931">
            <v>682</v>
          </cell>
        </row>
        <row r="932">
          <cell r="A932" t="str">
            <v>Proclea malmgreni</v>
          </cell>
          <cell r="B932">
            <v>683</v>
          </cell>
        </row>
        <row r="933">
          <cell r="A933" t="str">
            <v>Propebela exarata</v>
          </cell>
          <cell r="B933">
            <v>311</v>
          </cell>
        </row>
        <row r="934">
          <cell r="A934" t="str">
            <v>Propebela harpularia</v>
          </cell>
          <cell r="B934">
            <v>312</v>
          </cell>
        </row>
        <row r="935">
          <cell r="A935" t="str">
            <v>Propebela nobilis</v>
          </cell>
          <cell r="B935">
            <v>313</v>
          </cell>
        </row>
        <row r="936">
          <cell r="A936" t="str">
            <v>Propebela rugulata</v>
          </cell>
          <cell r="B936">
            <v>314</v>
          </cell>
        </row>
        <row r="937">
          <cell r="A937" t="str">
            <v>Propebela scalaris</v>
          </cell>
          <cell r="B937">
            <v>315</v>
          </cell>
        </row>
        <row r="938">
          <cell r="A938" t="str">
            <v>Propebela spitzbergensis</v>
          </cell>
          <cell r="B938">
            <v>316</v>
          </cell>
        </row>
        <row r="939">
          <cell r="A939" t="str">
            <v>Propebela viridula</v>
          </cell>
          <cell r="B939">
            <v>317</v>
          </cell>
        </row>
        <row r="940">
          <cell r="A940" t="str">
            <v>Protomedeia fasciata</v>
          </cell>
          <cell r="B940">
            <v>177</v>
          </cell>
        </row>
        <row r="941">
          <cell r="A941" t="str">
            <v>Protomedeia grandimana</v>
          </cell>
          <cell r="B941">
            <v>178</v>
          </cell>
        </row>
        <row r="942">
          <cell r="A942" t="str">
            <v>Pseudolibrotus littoralis</v>
          </cell>
          <cell r="B942">
            <v>226</v>
          </cell>
        </row>
        <row r="943">
          <cell r="A943" t="str">
            <v>Pseudopallene circularis</v>
          </cell>
          <cell r="B943">
            <v>278</v>
          </cell>
        </row>
        <row r="944">
          <cell r="A944" t="str">
            <v>Pseudopallene spinipes</v>
          </cell>
          <cell r="B944">
            <v>279</v>
          </cell>
        </row>
        <row r="945">
          <cell r="A945" t="str">
            <v>Pseudopolynices nanus</v>
          </cell>
          <cell r="B945">
            <v>342</v>
          </cell>
        </row>
        <row r="946">
          <cell r="A946" t="str">
            <v>Psichodidae</v>
          </cell>
          <cell r="B946">
            <v>287</v>
          </cell>
        </row>
        <row r="947">
          <cell r="A947" t="str">
            <v>Psolus phantapus</v>
          </cell>
          <cell r="B947">
            <v>856</v>
          </cell>
        </row>
        <row r="948">
          <cell r="A948" t="str">
            <v>Pteraster militaris</v>
          </cell>
          <cell r="B948">
            <v>849</v>
          </cell>
        </row>
        <row r="949">
          <cell r="A949" t="str">
            <v>Pteraster pulvillus</v>
          </cell>
          <cell r="B949">
            <v>850</v>
          </cell>
        </row>
        <row r="950">
          <cell r="A950" t="str">
            <v>Pterosyllis finmarchica</v>
          </cell>
          <cell r="B950">
            <v>766</v>
          </cell>
        </row>
        <row r="951">
          <cell r="A951" t="str">
            <v>Pterosyllis formosa</v>
          </cell>
          <cell r="B951">
            <v>767</v>
          </cell>
        </row>
        <row r="952">
          <cell r="A952" t="str">
            <v>Ptilota plumosa</v>
          </cell>
          <cell r="B952">
            <v>947</v>
          </cell>
        </row>
        <row r="953">
          <cell r="A953" t="str">
            <v>Punctulum minutum</v>
          </cell>
          <cell r="B953">
            <v>370</v>
          </cell>
        </row>
        <row r="954">
          <cell r="A954" t="str">
            <v>Punctulum wyvillethomsoni</v>
          </cell>
          <cell r="B954">
            <v>371</v>
          </cell>
        </row>
        <row r="955">
          <cell r="A955" t="str">
            <v>Puncturella noachina</v>
          </cell>
          <cell r="B955">
            <v>420</v>
          </cell>
        </row>
        <row r="956">
          <cell r="A956" t="str">
            <v>Pygospio elegans</v>
          </cell>
          <cell r="B956">
            <v>740</v>
          </cell>
        </row>
        <row r="957">
          <cell r="A957" t="str">
            <v>Pyllaiella litoralis</v>
          </cell>
          <cell r="B957">
            <v>985</v>
          </cell>
        </row>
        <row r="958">
          <cell r="A958" t="str">
            <v>Ralfsia verrucusa</v>
          </cell>
          <cell r="B958">
            <v>980</v>
          </cell>
        </row>
        <row r="959">
          <cell r="A959" t="str">
            <v>Rathkea octopunctata</v>
          </cell>
          <cell r="B959">
            <v>36</v>
          </cell>
        </row>
        <row r="960">
          <cell r="A960" t="str">
            <v>Reteropora cellulosa</v>
          </cell>
          <cell r="B960">
            <v>584</v>
          </cell>
        </row>
        <row r="961">
          <cell r="A961" t="str">
            <v>Retusa pertenuis</v>
          </cell>
          <cell r="B961">
            <v>397</v>
          </cell>
        </row>
        <row r="962">
          <cell r="A962" t="str">
            <v>Rhachotropis aculeata</v>
          </cell>
          <cell r="B962">
            <v>180</v>
          </cell>
        </row>
        <row r="963">
          <cell r="A963" t="str">
            <v>Rhamphostomella bilaminata</v>
          </cell>
          <cell r="B963">
            <v>1187</v>
          </cell>
        </row>
        <row r="964">
          <cell r="A964" t="str">
            <v>Rhamphostomella costata</v>
          </cell>
          <cell r="B964">
            <v>538</v>
          </cell>
        </row>
        <row r="965">
          <cell r="A965" t="str">
            <v>Rhamphostomella ovata</v>
          </cell>
          <cell r="B965">
            <v>539</v>
          </cell>
        </row>
        <row r="966">
          <cell r="A966" t="str">
            <v>Rhamphostomella radiatula</v>
          </cell>
          <cell r="B966">
            <v>540</v>
          </cell>
        </row>
        <row r="967">
          <cell r="A967" t="str">
            <v>Rhamphostomella scabra</v>
          </cell>
          <cell r="B967">
            <v>541</v>
          </cell>
        </row>
        <row r="968">
          <cell r="A968" t="str">
            <v>Rhamphostomella sp.</v>
          </cell>
          <cell r="B968">
            <v>542</v>
          </cell>
        </row>
        <row r="969">
          <cell r="A969" t="str">
            <v>Rhamphostomella spinigera</v>
          </cell>
          <cell r="B969">
            <v>543</v>
          </cell>
        </row>
        <row r="970">
          <cell r="A970" t="str">
            <v>Rhizoclonium sp.</v>
          </cell>
          <cell r="B970">
            <v>998</v>
          </cell>
        </row>
        <row r="971">
          <cell r="A971" t="str">
            <v>Rhodine gracilor</v>
          </cell>
          <cell r="B971">
            <v>629</v>
          </cell>
        </row>
        <row r="972">
          <cell r="A972" t="str">
            <v>Rhodine loveni</v>
          </cell>
          <cell r="B972">
            <v>630</v>
          </cell>
        </row>
        <row r="973">
          <cell r="A973" t="str">
            <v>Rhodine sp.</v>
          </cell>
          <cell r="B973">
            <v>631</v>
          </cell>
        </row>
        <row r="974">
          <cell r="A974" t="str">
            <v>Rhodohorton purpurum</v>
          </cell>
          <cell r="B974">
            <v>948</v>
          </cell>
        </row>
        <row r="975">
          <cell r="A975" t="str">
            <v>Rhodomella licopodioides</v>
          </cell>
          <cell r="B975">
            <v>971</v>
          </cell>
        </row>
        <row r="976">
          <cell r="A976" t="str">
            <v>Rhodomella litoralis</v>
          </cell>
          <cell r="B976">
            <v>957</v>
          </cell>
        </row>
        <row r="977">
          <cell r="A977" t="str">
            <v>Rhodomella sp.</v>
          </cell>
          <cell r="B977">
            <v>958</v>
          </cell>
        </row>
        <row r="978">
          <cell r="A978" t="str">
            <v>Rhodomella subfusca</v>
          </cell>
          <cell r="B978">
            <v>959</v>
          </cell>
        </row>
        <row r="979">
          <cell r="A979" t="str">
            <v>Rhodophyllis dichotoma</v>
          </cell>
          <cell r="B979">
            <v>965</v>
          </cell>
        </row>
        <row r="980">
          <cell r="A980" t="str">
            <v>Rhodophyta</v>
          </cell>
          <cell r="B980">
            <v>972</v>
          </cell>
        </row>
        <row r="981">
          <cell r="A981" t="str">
            <v>Rhodymenia palmata</v>
          </cell>
          <cell r="B981">
            <v>964</v>
          </cell>
        </row>
        <row r="982">
          <cell r="A982" t="str">
            <v>Rozinante fragilis</v>
          </cell>
          <cell r="B982">
            <v>181</v>
          </cell>
        </row>
        <row r="983">
          <cell r="A983" t="str">
            <v>Ruppia maritima</v>
          </cell>
          <cell r="B983">
            <v>1005</v>
          </cell>
        </row>
        <row r="984">
          <cell r="A984" t="str">
            <v>Sabella crassicornis</v>
          </cell>
          <cell r="B984">
            <v>1094</v>
          </cell>
        </row>
        <row r="985">
          <cell r="A985" t="str">
            <v>Sabella discifera</v>
          </cell>
          <cell r="B985">
            <v>1194</v>
          </cell>
        </row>
        <row r="986">
          <cell r="A986" t="str">
            <v>Sabella fabricii</v>
          </cell>
          <cell r="B986">
            <v>804</v>
          </cell>
        </row>
        <row r="987">
          <cell r="A987" t="str">
            <v>Sabellidae</v>
          </cell>
          <cell r="B987">
            <v>798</v>
          </cell>
        </row>
        <row r="988">
          <cell r="A988" t="str">
            <v>Sabellidae</v>
          </cell>
          <cell r="B988">
            <v>799</v>
          </cell>
        </row>
        <row r="989">
          <cell r="A989" t="str">
            <v>Sabellides borealis</v>
          </cell>
          <cell r="B989">
            <v>664</v>
          </cell>
        </row>
        <row r="990">
          <cell r="A990" t="str">
            <v>Sabinea septemcarinata</v>
          </cell>
          <cell r="B990">
            <v>251</v>
          </cell>
        </row>
        <row r="991">
          <cell r="A991" t="str">
            <v>Sacarnes wahli</v>
          </cell>
          <cell r="B991">
            <v>267</v>
          </cell>
        </row>
        <row r="992">
          <cell r="A992" t="str">
            <v>Saccoglossus mereschkowskii</v>
          </cell>
          <cell r="B992">
            <v>937</v>
          </cell>
        </row>
        <row r="993">
          <cell r="A993" t="str">
            <v>Saduria entomon</v>
          </cell>
          <cell r="B993">
            <v>265</v>
          </cell>
        </row>
        <row r="994">
          <cell r="A994" t="str">
            <v>Saduria sabini</v>
          </cell>
          <cell r="B994">
            <v>1045</v>
          </cell>
        </row>
        <row r="995">
          <cell r="A995" t="str">
            <v>Saduria sibirica</v>
          </cell>
          <cell r="B995">
            <v>1044</v>
          </cell>
        </row>
        <row r="996">
          <cell r="A996" t="str">
            <v>Salicornia pojarkovi</v>
          </cell>
          <cell r="B996">
            <v>1006</v>
          </cell>
        </row>
        <row r="997">
          <cell r="A997" t="str">
            <v>Scagelia pylaisaei</v>
          </cell>
          <cell r="B997">
            <v>1182</v>
          </cell>
        </row>
        <row r="998">
          <cell r="A998" t="str">
            <v>Scalibregma inflatum</v>
          </cell>
          <cell r="B998">
            <v>649</v>
          </cell>
        </row>
        <row r="999">
          <cell r="A999" t="str">
            <v>Scalibregma robusta</v>
          </cell>
          <cell r="B999">
            <v>650</v>
          </cell>
        </row>
        <row r="1000">
          <cell r="A1000" t="str">
            <v>Scalibregma sp.</v>
          </cell>
          <cell r="B1000">
            <v>651</v>
          </cell>
        </row>
        <row r="1001">
          <cell r="A1001" t="str">
            <v>Scaphander punctostriatus</v>
          </cell>
          <cell r="B1001">
            <v>390</v>
          </cell>
        </row>
        <row r="1002">
          <cell r="A1002" t="str">
            <v>Scaphander sp.</v>
          </cell>
          <cell r="B1002">
            <v>1088</v>
          </cell>
        </row>
        <row r="1003">
          <cell r="A1003" t="str">
            <v>Schistomeringos coeca</v>
          </cell>
          <cell r="B1003">
            <v>820</v>
          </cell>
        </row>
        <row r="1004">
          <cell r="A1004" t="str">
            <v>Schizoporella auriculata</v>
          </cell>
          <cell r="B1004">
            <v>550</v>
          </cell>
        </row>
        <row r="1005">
          <cell r="A1005" t="str">
            <v>Schizoporella biaperta</v>
          </cell>
          <cell r="B1005">
            <v>551</v>
          </cell>
        </row>
        <row r="1006">
          <cell r="A1006" t="str">
            <v>Schizoporella bispinosa</v>
          </cell>
          <cell r="B1006">
            <v>552</v>
          </cell>
        </row>
        <row r="1007">
          <cell r="A1007" t="str">
            <v>Schizoporella crustacea</v>
          </cell>
          <cell r="B1007">
            <v>553</v>
          </cell>
        </row>
        <row r="1008">
          <cell r="A1008" t="str">
            <v>Schizoporella elmwoodiae</v>
          </cell>
          <cell r="B1008">
            <v>554</v>
          </cell>
        </row>
        <row r="1009">
          <cell r="A1009" t="str">
            <v>Schizoporella inserta</v>
          </cell>
          <cell r="B1009">
            <v>555</v>
          </cell>
        </row>
        <row r="1010">
          <cell r="A1010" t="str">
            <v>Schizoporella magniporata</v>
          </cell>
          <cell r="B1010">
            <v>556</v>
          </cell>
        </row>
        <row r="1011">
          <cell r="A1011" t="str">
            <v>Schizoporella porifera</v>
          </cell>
          <cell r="B1011">
            <v>557</v>
          </cell>
        </row>
        <row r="1012">
          <cell r="A1012" t="str">
            <v>Sclerocrangon boreas</v>
          </cell>
          <cell r="B1012">
            <v>252</v>
          </cell>
        </row>
        <row r="1013">
          <cell r="A1013" t="str">
            <v>Scoloplos acutus</v>
          </cell>
          <cell r="B1013">
            <v>1017</v>
          </cell>
        </row>
        <row r="1014">
          <cell r="A1014" t="str">
            <v>Scoloplos armiger</v>
          </cell>
          <cell r="B1014">
            <v>745</v>
          </cell>
        </row>
        <row r="1015">
          <cell r="A1015" t="str">
            <v>Scrupocellaria arctica</v>
          </cell>
          <cell r="B1015">
            <v>513</v>
          </cell>
        </row>
        <row r="1016">
          <cell r="A1016" t="str">
            <v>Scrupocellaria minor</v>
          </cell>
          <cell r="B1016">
            <v>514</v>
          </cell>
        </row>
        <row r="1017">
          <cell r="A1017" t="str">
            <v>Scrupocellaria scabra</v>
          </cell>
          <cell r="B1017">
            <v>515</v>
          </cell>
        </row>
        <row r="1018">
          <cell r="A1018" t="str">
            <v>Scrupocellaria sp.</v>
          </cell>
          <cell r="B1018">
            <v>1181</v>
          </cell>
        </row>
        <row r="1019">
          <cell r="A1019" t="str">
            <v>Scrupocellariidae</v>
          </cell>
          <cell r="B1019">
            <v>1189</v>
          </cell>
        </row>
        <row r="1020">
          <cell r="A1020" t="str">
            <v>Scytosiphon lomentarius</v>
          </cell>
          <cell r="B1020">
            <v>1019</v>
          </cell>
        </row>
        <row r="1021">
          <cell r="A1021" t="str">
            <v>Scytosiphon sp.</v>
          </cell>
          <cell r="B1021">
            <v>988</v>
          </cell>
        </row>
        <row r="1022">
          <cell r="A1022" t="str">
            <v>Semibalanus balanoides</v>
          </cell>
          <cell r="B1022">
            <v>234</v>
          </cell>
        </row>
        <row r="1023">
          <cell r="A1023" t="str">
            <v>Serpulidae</v>
          </cell>
          <cell r="B1023">
            <v>812</v>
          </cell>
        </row>
        <row r="1024">
          <cell r="A1024" t="str">
            <v>Serripes groenlandicus</v>
          </cell>
          <cell r="B1024">
            <v>424</v>
          </cell>
        </row>
        <row r="1025">
          <cell r="A1025" t="str">
            <v>Sertularella gigantea</v>
          </cell>
          <cell r="B1025">
            <v>8</v>
          </cell>
        </row>
        <row r="1026">
          <cell r="A1026" t="str">
            <v>Sertularella rugosa</v>
          </cell>
          <cell r="B1026">
            <v>9</v>
          </cell>
        </row>
        <row r="1027">
          <cell r="A1027" t="str">
            <v>Sertularella sp.</v>
          </cell>
          <cell r="B1027">
            <v>10</v>
          </cell>
        </row>
        <row r="1028">
          <cell r="A1028" t="str">
            <v>Sertularella tricuspidata</v>
          </cell>
          <cell r="B1028">
            <v>11</v>
          </cell>
        </row>
        <row r="1029">
          <cell r="A1029" t="str">
            <v>Sertularia albimaris</v>
          </cell>
          <cell r="B1029">
            <v>12</v>
          </cell>
        </row>
        <row r="1030">
          <cell r="A1030" t="str">
            <v>Sertularia cupressina</v>
          </cell>
          <cell r="B1030">
            <v>13</v>
          </cell>
        </row>
        <row r="1031">
          <cell r="A1031" t="str">
            <v>Sertularia mirabilis</v>
          </cell>
          <cell r="B1031">
            <v>14</v>
          </cell>
        </row>
        <row r="1032">
          <cell r="A1032" t="str">
            <v>Sertularia plumosa</v>
          </cell>
          <cell r="B1032">
            <v>15</v>
          </cell>
        </row>
        <row r="1033">
          <cell r="A1033" t="str">
            <v>Sertularia schmidti</v>
          </cell>
          <cell r="B1033">
            <v>16</v>
          </cell>
        </row>
        <row r="1034">
          <cell r="A1034" t="str">
            <v>Sertularia sp.</v>
          </cell>
          <cell r="B1034">
            <v>17</v>
          </cell>
        </row>
        <row r="1035">
          <cell r="A1035" t="str">
            <v>Sertularia tenera</v>
          </cell>
          <cell r="B1035">
            <v>18</v>
          </cell>
        </row>
        <row r="1036">
          <cell r="A1036" t="str">
            <v>Sertulariidae</v>
          </cell>
          <cell r="B1036">
            <v>19</v>
          </cell>
        </row>
        <row r="1037">
          <cell r="A1037" t="str">
            <v>Setia latior</v>
          </cell>
          <cell r="B1037">
            <v>386</v>
          </cell>
        </row>
        <row r="1038">
          <cell r="A1038" t="str">
            <v>Sipunculoidea</v>
          </cell>
          <cell r="B1038">
            <v>926</v>
          </cell>
        </row>
        <row r="1039">
          <cell r="A1039" t="str">
            <v>Skeneopsis planorbis</v>
          </cell>
          <cell r="B1039">
            <v>387</v>
          </cell>
        </row>
        <row r="1040">
          <cell r="A1040" t="str">
            <v>Slerocrangon boreas</v>
          </cell>
          <cell r="B1040">
            <v>254</v>
          </cell>
        </row>
        <row r="1041">
          <cell r="A1041" t="str">
            <v>Smittina concinna</v>
          </cell>
          <cell r="B1041">
            <v>575</v>
          </cell>
        </row>
        <row r="1042">
          <cell r="A1042" t="str">
            <v>Smittina glaciata</v>
          </cell>
          <cell r="B1042">
            <v>576</v>
          </cell>
        </row>
        <row r="1043">
          <cell r="A1043" t="str">
            <v>Smittina majuscula</v>
          </cell>
          <cell r="B1043">
            <v>577</v>
          </cell>
        </row>
        <row r="1044">
          <cell r="A1044" t="str">
            <v>Smittina minuscula</v>
          </cell>
          <cell r="B1044">
            <v>578</v>
          </cell>
        </row>
        <row r="1045">
          <cell r="A1045" t="str">
            <v>Smittina mucronata</v>
          </cell>
          <cell r="B1045">
            <v>579</v>
          </cell>
        </row>
        <row r="1046">
          <cell r="A1046" t="str">
            <v>Smittina peristomata</v>
          </cell>
          <cell r="B1046">
            <v>580</v>
          </cell>
        </row>
        <row r="1047">
          <cell r="A1047" t="str">
            <v>Smittina pseudoacutirostris</v>
          </cell>
          <cell r="B1047">
            <v>581</v>
          </cell>
        </row>
        <row r="1048">
          <cell r="A1048" t="str">
            <v>Smittina rigida</v>
          </cell>
          <cell r="B1048">
            <v>582</v>
          </cell>
        </row>
        <row r="1049">
          <cell r="A1049" t="str">
            <v>Socarnes vahli</v>
          </cell>
          <cell r="B1049">
            <v>151</v>
          </cell>
        </row>
        <row r="1050">
          <cell r="A1050" t="str">
            <v>Solariella obscura</v>
          </cell>
          <cell r="B1050">
            <v>409</v>
          </cell>
        </row>
        <row r="1051">
          <cell r="A1051" t="str">
            <v>Solariella varicosa</v>
          </cell>
          <cell r="B1051">
            <v>410</v>
          </cell>
        </row>
        <row r="1052">
          <cell r="A1052" t="str">
            <v>Solaster endeca</v>
          </cell>
          <cell r="B1052">
            <v>847</v>
          </cell>
        </row>
        <row r="1053">
          <cell r="A1053" t="str">
            <v>Sphacelaria sp.</v>
          </cell>
          <cell r="B1053">
            <v>1174</v>
          </cell>
        </row>
        <row r="1054">
          <cell r="A1054" t="str">
            <v>Sphaerodorum minutum</v>
          </cell>
          <cell r="B1054">
            <v>777</v>
          </cell>
        </row>
        <row r="1055">
          <cell r="A1055" t="str">
            <v>Sphaerosyllis erinaceus</v>
          </cell>
          <cell r="B1055">
            <v>768</v>
          </cell>
        </row>
        <row r="1056">
          <cell r="A1056" t="str">
            <v>Sphaerotylus borealis</v>
          </cell>
          <cell r="B1056">
            <v>891</v>
          </cell>
        </row>
        <row r="1057">
          <cell r="A1057" t="str">
            <v>Spio arctica</v>
          </cell>
          <cell r="B1057">
            <v>730</v>
          </cell>
        </row>
        <row r="1058">
          <cell r="A1058" t="str">
            <v>Spio filicornis</v>
          </cell>
          <cell r="B1058">
            <v>731</v>
          </cell>
        </row>
        <row r="1059">
          <cell r="A1059" t="str">
            <v>Spio sp.</v>
          </cell>
          <cell r="B1059">
            <v>729</v>
          </cell>
        </row>
        <row r="1060">
          <cell r="A1060" t="str">
            <v>Spio theeli</v>
          </cell>
          <cell r="B1060">
            <v>732</v>
          </cell>
        </row>
        <row r="1061">
          <cell r="A1061" t="str">
            <v>Spionidae</v>
          </cell>
          <cell r="B1061">
            <v>741</v>
          </cell>
        </row>
        <row r="1062">
          <cell r="A1062" t="str">
            <v>Spiophanes kroyeri</v>
          </cell>
          <cell r="B1062">
            <v>1021</v>
          </cell>
        </row>
        <row r="1063">
          <cell r="A1063" t="str">
            <v>Spirorbidae</v>
          </cell>
          <cell r="B1063">
            <v>1183</v>
          </cell>
        </row>
        <row r="1064">
          <cell r="A1064" t="str">
            <v>Spirorbis armoricana</v>
          </cell>
          <cell r="B1064">
            <v>813</v>
          </cell>
        </row>
        <row r="1065">
          <cell r="A1065" t="str">
            <v>Spirorbis sp.</v>
          </cell>
          <cell r="B1065">
            <v>814</v>
          </cell>
        </row>
        <row r="1066">
          <cell r="A1066" t="str">
            <v>Spirorbis spirorbis</v>
          </cell>
          <cell r="B1066">
            <v>815</v>
          </cell>
        </row>
        <row r="1067">
          <cell r="A1067" t="str">
            <v>Spongomorpha sp.</v>
          </cell>
          <cell r="B1067">
            <v>1155</v>
          </cell>
        </row>
        <row r="1068">
          <cell r="A1068" t="str">
            <v>Stauridia producta</v>
          </cell>
          <cell r="B1068">
            <v>28</v>
          </cell>
        </row>
        <row r="1069">
          <cell r="A1069" t="str">
            <v>Stegocephalidae</v>
          </cell>
          <cell r="B1069">
            <v>136</v>
          </cell>
        </row>
        <row r="1070">
          <cell r="A1070" t="str">
            <v>Stegocephaloides christianie</v>
          </cell>
          <cell r="B1070">
            <v>137</v>
          </cell>
        </row>
        <row r="1071">
          <cell r="A1071" t="str">
            <v>Stegocephalus inflatus</v>
          </cell>
          <cell r="B1071">
            <v>138</v>
          </cell>
        </row>
        <row r="1072">
          <cell r="A1072" t="str">
            <v>Stegophiura nodosa</v>
          </cell>
          <cell r="B1072">
            <v>842</v>
          </cell>
        </row>
        <row r="1073">
          <cell r="A1073" t="str">
            <v>Stegopoma plicatile</v>
          </cell>
          <cell r="B1073">
            <v>43</v>
          </cell>
        </row>
        <row r="1074">
          <cell r="A1074" t="str">
            <v>Stenosemus albus</v>
          </cell>
          <cell r="B1074">
            <v>478</v>
          </cell>
        </row>
        <row r="1075">
          <cell r="A1075" t="str">
            <v>Stenothoe sp.</v>
          </cell>
          <cell r="B1075">
            <v>1067</v>
          </cell>
        </row>
        <row r="1076">
          <cell r="A1076" t="str">
            <v>Stomachetosella cruenta</v>
          </cell>
          <cell r="B1076">
            <v>585</v>
          </cell>
        </row>
        <row r="1077">
          <cell r="A1077" t="str">
            <v>Stomachetosella limbata</v>
          </cell>
          <cell r="B1077">
            <v>1195</v>
          </cell>
        </row>
        <row r="1078">
          <cell r="A1078" t="str">
            <v>Stomachetosella producta</v>
          </cell>
          <cell r="B1078">
            <v>586</v>
          </cell>
        </row>
        <row r="1079">
          <cell r="A1079" t="str">
            <v>Stomachetosella sinuosa</v>
          </cell>
          <cell r="B1079">
            <v>587</v>
          </cell>
        </row>
        <row r="1080">
          <cell r="A1080" t="str">
            <v>Stomphia coccinea</v>
          </cell>
          <cell r="B1080">
            <v>99</v>
          </cell>
        </row>
        <row r="1081">
          <cell r="A1081" t="str">
            <v>Strongylocentrotus pallidus</v>
          </cell>
          <cell r="B1081">
            <v>858</v>
          </cell>
        </row>
        <row r="1082">
          <cell r="A1082" t="str">
            <v>Styela coriacea</v>
          </cell>
          <cell r="B1082">
            <v>912</v>
          </cell>
        </row>
        <row r="1083">
          <cell r="A1083" t="str">
            <v>Styela rustica</v>
          </cell>
          <cell r="B1083">
            <v>913</v>
          </cell>
        </row>
        <row r="1084">
          <cell r="A1084" t="str">
            <v>Stylarioides plumosa</v>
          </cell>
          <cell r="B1084">
            <v>641</v>
          </cell>
        </row>
        <row r="1085">
          <cell r="A1085" t="str">
            <v>Suberitas domuncula</v>
          </cell>
          <cell r="B1085">
            <v>894</v>
          </cell>
        </row>
        <row r="1086">
          <cell r="A1086" t="str">
            <v>Suberitas sp.</v>
          </cell>
          <cell r="B1086">
            <v>895</v>
          </cell>
        </row>
        <row r="1087">
          <cell r="A1087" t="str">
            <v>Suberites montiniger</v>
          </cell>
          <cell r="B1087">
            <v>896</v>
          </cell>
        </row>
        <row r="1088">
          <cell r="A1088" t="str">
            <v>Sycon ciliatum</v>
          </cell>
          <cell r="B1088">
            <v>899</v>
          </cell>
        </row>
        <row r="1089">
          <cell r="A1089" t="str">
            <v>Sycon raphanus</v>
          </cell>
          <cell r="B1089">
            <v>900</v>
          </cell>
        </row>
        <row r="1090">
          <cell r="A1090" t="str">
            <v>Sycon sp.</v>
          </cell>
          <cell r="B1090">
            <v>1170</v>
          </cell>
        </row>
        <row r="1091">
          <cell r="A1091" t="str">
            <v>Syllidae</v>
          </cell>
          <cell r="B1091">
            <v>769</v>
          </cell>
        </row>
        <row r="1092">
          <cell r="A1092" t="str">
            <v>Syllides longicirrata</v>
          </cell>
          <cell r="B1092">
            <v>770</v>
          </cell>
        </row>
        <row r="1093">
          <cell r="A1093" t="str">
            <v>Syllis armillaris</v>
          </cell>
          <cell r="B1093">
            <v>771</v>
          </cell>
        </row>
        <row r="1094">
          <cell r="A1094" t="str">
            <v>Syllis fasciata</v>
          </cell>
          <cell r="B1094">
            <v>772</v>
          </cell>
        </row>
        <row r="1095">
          <cell r="A1095" t="str">
            <v>Syllis monilicornis</v>
          </cell>
          <cell r="B1095">
            <v>773</v>
          </cell>
        </row>
        <row r="1096">
          <cell r="A1096" t="str">
            <v>Syllis oerstedi</v>
          </cell>
          <cell r="B1096">
            <v>774</v>
          </cell>
        </row>
        <row r="1097">
          <cell r="A1097" t="str">
            <v>Syllis sp.</v>
          </cell>
          <cell r="B1097">
            <v>775</v>
          </cell>
        </row>
        <row r="1098">
          <cell r="A1098" t="str">
            <v>Sympleustes glaber</v>
          </cell>
          <cell r="B1098">
            <v>222</v>
          </cell>
        </row>
        <row r="1099">
          <cell r="A1099" t="str">
            <v>Synidotea bicuspida</v>
          </cell>
          <cell r="B1099">
            <v>1022</v>
          </cell>
        </row>
        <row r="1100">
          <cell r="A1100" t="str">
            <v>Synidotea nodulosa</v>
          </cell>
          <cell r="B1100">
            <v>1023</v>
          </cell>
        </row>
        <row r="1101">
          <cell r="A1101" t="str">
            <v>Synoicum pulmonaria</v>
          </cell>
          <cell r="B1101">
            <v>917</v>
          </cell>
        </row>
        <row r="1102">
          <cell r="A1102" t="str">
            <v>Syrroe crenulata</v>
          </cell>
          <cell r="B1102">
            <v>227</v>
          </cell>
        </row>
        <row r="1103">
          <cell r="A1103" t="str">
            <v>Tabanidae</v>
          </cell>
          <cell r="B1103">
            <v>1197</v>
          </cell>
        </row>
        <row r="1104">
          <cell r="A1104" t="str">
            <v>Tamarisca tamarisca</v>
          </cell>
          <cell r="B1104">
            <v>20</v>
          </cell>
        </row>
        <row r="1105">
          <cell r="A1105" t="str">
            <v>Tanaidae</v>
          </cell>
          <cell r="B1105">
            <v>1121</v>
          </cell>
        </row>
        <row r="1106">
          <cell r="A1106" t="str">
            <v>Tauberia gracilis</v>
          </cell>
          <cell r="B1106">
            <v>821</v>
          </cell>
        </row>
        <row r="1107">
          <cell r="A1107" t="str">
            <v>Tectura virginea</v>
          </cell>
          <cell r="B1107">
            <v>399</v>
          </cell>
        </row>
        <row r="1108">
          <cell r="A1108" t="str">
            <v>Tedania suctoria</v>
          </cell>
          <cell r="B1108">
            <v>901</v>
          </cell>
        </row>
        <row r="1109">
          <cell r="A1109" t="str">
            <v>Tegella arctica</v>
          </cell>
          <cell r="B1109">
            <v>1156</v>
          </cell>
        </row>
        <row r="1110">
          <cell r="A1110" t="str">
            <v>Tegella armifera</v>
          </cell>
          <cell r="B1110">
            <v>508</v>
          </cell>
        </row>
        <row r="1111">
          <cell r="A1111" t="str">
            <v>Tegella nigrans</v>
          </cell>
          <cell r="B1111">
            <v>509</v>
          </cell>
        </row>
        <row r="1112">
          <cell r="A1112" t="str">
            <v>Tegella sp.</v>
          </cell>
          <cell r="B1112">
            <v>1158</v>
          </cell>
        </row>
        <row r="1113">
          <cell r="A1113" t="str">
            <v>Tegella spitzbergensis</v>
          </cell>
          <cell r="B1113">
            <v>510</v>
          </cell>
        </row>
        <row r="1114">
          <cell r="A1114" t="str">
            <v>Tendipedidae</v>
          </cell>
          <cell r="B1114">
            <v>288</v>
          </cell>
        </row>
        <row r="1115">
          <cell r="A1115" t="str">
            <v>Terebella hessli</v>
          </cell>
          <cell r="B1115">
            <v>684</v>
          </cell>
        </row>
        <row r="1116">
          <cell r="A1116" t="str">
            <v>Terebellidae</v>
          </cell>
          <cell r="B1116">
            <v>685</v>
          </cell>
        </row>
        <row r="1117">
          <cell r="A1117" t="str">
            <v>Terebellides stroemi</v>
          </cell>
          <cell r="B1117">
            <v>692</v>
          </cell>
        </row>
        <row r="1118">
          <cell r="A1118" t="str">
            <v>Testudinalia tesselata</v>
          </cell>
          <cell r="B1118">
            <v>400</v>
          </cell>
        </row>
        <row r="1119">
          <cell r="A1119" t="str">
            <v>Tethya aurantium</v>
          </cell>
          <cell r="B1119">
            <v>897</v>
          </cell>
        </row>
        <row r="1120">
          <cell r="A1120" t="str">
            <v>Tetrapoma quadridentata</v>
          </cell>
          <cell r="B1120">
            <v>44</v>
          </cell>
        </row>
        <row r="1121">
          <cell r="A1121" t="str">
            <v>Tharyx marioni</v>
          </cell>
          <cell r="B1121">
            <v>756</v>
          </cell>
        </row>
        <row r="1122">
          <cell r="A1122" t="str">
            <v>Thelepus canalabus</v>
          </cell>
          <cell r="B1122">
            <v>686</v>
          </cell>
        </row>
        <row r="1123">
          <cell r="A1123" t="str">
            <v>Thelepus cincinatus</v>
          </cell>
          <cell r="B1123">
            <v>687</v>
          </cell>
        </row>
        <row r="1124">
          <cell r="A1124" t="str">
            <v>Thelepus sp.</v>
          </cell>
          <cell r="B1124">
            <v>688</v>
          </cell>
        </row>
        <row r="1125">
          <cell r="A1125" t="str">
            <v>Thracia myopsis</v>
          </cell>
          <cell r="B1125">
            <v>470</v>
          </cell>
        </row>
        <row r="1126">
          <cell r="A1126" t="str">
            <v>Thracia sp.</v>
          </cell>
          <cell r="B1126">
            <v>1064</v>
          </cell>
        </row>
        <row r="1127">
          <cell r="A1127" t="str">
            <v>Thraciidae</v>
          </cell>
          <cell r="B1127">
            <v>1077</v>
          </cell>
        </row>
        <row r="1128">
          <cell r="A1128" t="str">
            <v>Thuiaria articulata</v>
          </cell>
          <cell r="B1128">
            <v>21</v>
          </cell>
        </row>
        <row r="1129">
          <cell r="A1129" t="str">
            <v>Thuiaria carica</v>
          </cell>
          <cell r="B1129">
            <v>22</v>
          </cell>
        </row>
        <row r="1130">
          <cell r="A1130" t="str">
            <v>Thuiaria cupressiodes</v>
          </cell>
          <cell r="B1130">
            <v>23</v>
          </cell>
        </row>
        <row r="1131">
          <cell r="A1131" t="str">
            <v>Thuiaria laxa</v>
          </cell>
          <cell r="B1131">
            <v>24</v>
          </cell>
        </row>
        <row r="1132">
          <cell r="A1132" t="str">
            <v>Thuiaria obsoleta</v>
          </cell>
          <cell r="B1132">
            <v>25</v>
          </cell>
        </row>
        <row r="1133">
          <cell r="A1133" t="str">
            <v>Thuiaria thuja</v>
          </cell>
          <cell r="B1133">
            <v>26</v>
          </cell>
        </row>
        <row r="1134">
          <cell r="A1134" t="str">
            <v>Thyasira equalis</v>
          </cell>
          <cell r="B1134">
            <v>430</v>
          </cell>
        </row>
        <row r="1135">
          <cell r="A1135" t="str">
            <v>Thyasira gouldi</v>
          </cell>
          <cell r="B1135">
            <v>431</v>
          </cell>
        </row>
        <row r="1136">
          <cell r="A1136" t="str">
            <v>Thyasira sarsii</v>
          </cell>
          <cell r="B1136">
            <v>1141</v>
          </cell>
        </row>
        <row r="1137">
          <cell r="A1137" t="str">
            <v>Thyasira sp.</v>
          </cell>
          <cell r="B1137">
            <v>1086</v>
          </cell>
        </row>
        <row r="1138">
          <cell r="A1138" t="str">
            <v>Tiron acanthurus</v>
          </cell>
          <cell r="B1138">
            <v>228</v>
          </cell>
        </row>
        <row r="1139">
          <cell r="A1139" t="str">
            <v>Tonicella marmorea</v>
          </cell>
          <cell r="B1139">
            <v>479</v>
          </cell>
        </row>
        <row r="1140">
          <cell r="A1140" t="str">
            <v>Tonicella rubra</v>
          </cell>
          <cell r="B1140">
            <v>480</v>
          </cell>
        </row>
        <row r="1141">
          <cell r="A1141" t="str">
            <v>Travisia forbesi</v>
          </cell>
          <cell r="B1141">
            <v>614</v>
          </cell>
        </row>
        <row r="1142">
          <cell r="A1142" t="str">
            <v>Tricelaria ternata</v>
          </cell>
          <cell r="B1142">
            <v>516</v>
          </cell>
        </row>
        <row r="1143">
          <cell r="A1143" t="str">
            <v>Tricellaria gracilis</v>
          </cell>
          <cell r="B1143">
            <v>517</v>
          </cell>
        </row>
        <row r="1144">
          <cell r="A1144" t="str">
            <v>Tricellaria sp.</v>
          </cell>
          <cell r="B1144">
            <v>518</v>
          </cell>
        </row>
        <row r="1145">
          <cell r="A1145" t="str">
            <v>Trichobranchus glacialis</v>
          </cell>
          <cell r="B1145">
            <v>693</v>
          </cell>
        </row>
        <row r="1146">
          <cell r="A1146" t="str">
            <v>Trichotropis herzenshteini</v>
          </cell>
          <cell r="B1146">
            <v>344</v>
          </cell>
        </row>
        <row r="1147">
          <cell r="A1147" t="str">
            <v>Tricostemma hemispherica</v>
          </cell>
          <cell r="B1147">
            <v>892</v>
          </cell>
        </row>
        <row r="1148">
          <cell r="A1148" t="str">
            <v>Tridonta borealis</v>
          </cell>
          <cell r="B1148">
            <v>428</v>
          </cell>
        </row>
        <row r="1149">
          <cell r="A1149" t="str">
            <v>Triglochin maritimum</v>
          </cell>
          <cell r="B1149">
            <v>1008</v>
          </cell>
        </row>
        <row r="1150">
          <cell r="A1150" t="str">
            <v>Trinchesia viridis</v>
          </cell>
          <cell r="B1150">
            <v>330</v>
          </cell>
        </row>
        <row r="1151">
          <cell r="A1151" t="str">
            <v>Triphosa schneideri</v>
          </cell>
          <cell r="B1151">
            <v>152</v>
          </cell>
        </row>
        <row r="1152">
          <cell r="A1152" t="str">
            <v>Triphosites longipes</v>
          </cell>
          <cell r="B1152">
            <v>153</v>
          </cell>
        </row>
        <row r="1153">
          <cell r="A1153" t="str">
            <v>Tripolium vulgare</v>
          </cell>
          <cell r="B1153">
            <v>1007</v>
          </cell>
        </row>
        <row r="1154">
          <cell r="A1154" t="str">
            <v>Tubifex costatus</v>
          </cell>
          <cell r="B1154">
            <v>828</v>
          </cell>
        </row>
        <row r="1155">
          <cell r="A1155" t="str">
            <v>Tubificoides benedeni</v>
          </cell>
          <cell r="B1155">
            <v>829</v>
          </cell>
        </row>
        <row r="1156">
          <cell r="A1156" t="str">
            <v>Tubularia indivisa</v>
          </cell>
          <cell r="B1156">
            <v>60</v>
          </cell>
        </row>
        <row r="1157">
          <cell r="A1157" t="str">
            <v>Tubularia larynx</v>
          </cell>
          <cell r="B1157">
            <v>61</v>
          </cell>
        </row>
        <row r="1158">
          <cell r="A1158" t="str">
            <v>Tubularia simplex</v>
          </cell>
          <cell r="B1158">
            <v>62</v>
          </cell>
        </row>
        <row r="1159">
          <cell r="A1159" t="str">
            <v>Tubularia sp.</v>
          </cell>
          <cell r="B1159">
            <v>63</v>
          </cell>
        </row>
        <row r="1160">
          <cell r="A1160" t="str">
            <v>Tubulipora aperta</v>
          </cell>
          <cell r="B1160">
            <v>603</v>
          </cell>
        </row>
        <row r="1161">
          <cell r="A1161" t="str">
            <v>Tubulipora flabellaris</v>
          </cell>
          <cell r="B1161">
            <v>604</v>
          </cell>
        </row>
        <row r="1162">
          <cell r="A1162" t="str">
            <v>Tubulipora fructuosa</v>
          </cell>
          <cell r="B1162">
            <v>605</v>
          </cell>
        </row>
        <row r="1163">
          <cell r="A1163" t="str">
            <v>Tubulipora marisalbi</v>
          </cell>
          <cell r="B1163">
            <v>606</v>
          </cell>
        </row>
        <row r="1164">
          <cell r="A1164" t="str">
            <v>Tubulipora minuta</v>
          </cell>
          <cell r="B1164">
            <v>607</v>
          </cell>
        </row>
        <row r="1165">
          <cell r="A1165" t="str">
            <v>Tubulipora sp.</v>
          </cell>
          <cell r="B1165">
            <v>608</v>
          </cell>
        </row>
        <row r="1166">
          <cell r="A1166" t="str">
            <v>Turbellaria</v>
          </cell>
          <cell r="B1166">
            <v>935</v>
          </cell>
        </row>
        <row r="1167">
          <cell r="A1167" t="str">
            <v>Turritellopsis acicula</v>
          </cell>
          <cell r="B1167">
            <v>421</v>
          </cell>
        </row>
        <row r="1168">
          <cell r="A1168" t="str">
            <v>Turtonia minuta</v>
          </cell>
          <cell r="B1168">
            <v>443</v>
          </cell>
        </row>
        <row r="1169">
          <cell r="A1169" t="str">
            <v>Typhlotanais sp.</v>
          </cell>
          <cell r="B1169">
            <v>1065</v>
          </cell>
        </row>
        <row r="1170">
          <cell r="A1170" t="str">
            <v>Umbonula arctica</v>
          </cell>
          <cell r="B1170">
            <v>583</v>
          </cell>
        </row>
        <row r="1171">
          <cell r="A1171" t="str">
            <v>Umbonula patens</v>
          </cell>
          <cell r="B1171">
            <v>1157</v>
          </cell>
        </row>
        <row r="1172">
          <cell r="A1172" t="str">
            <v>Unciola planipes</v>
          </cell>
          <cell r="B1172">
            <v>170</v>
          </cell>
        </row>
        <row r="1173">
          <cell r="A1173" t="str">
            <v>Urasterias lincki</v>
          </cell>
          <cell r="B1173">
            <v>844</v>
          </cell>
        </row>
        <row r="1174">
          <cell r="A1174" t="str">
            <v>Urticina felina</v>
          </cell>
          <cell r="B1174">
            <v>92</v>
          </cell>
        </row>
        <row r="1175">
          <cell r="A1175" t="str">
            <v>Uteroporus sp.</v>
          </cell>
          <cell r="B1175">
            <v>936</v>
          </cell>
        </row>
        <row r="1176">
          <cell r="A1176" t="str">
            <v>Valkeria uva</v>
          </cell>
          <cell r="B1176">
            <v>491</v>
          </cell>
        </row>
        <row r="1177">
          <cell r="A1177" t="str">
            <v>Velutina plicatilis</v>
          </cell>
          <cell r="B1177">
            <v>346</v>
          </cell>
        </row>
        <row r="1178">
          <cell r="A1178" t="str">
            <v>Velutina sp.</v>
          </cell>
          <cell r="B1178">
            <v>347</v>
          </cell>
        </row>
        <row r="1179">
          <cell r="A1179" t="str">
            <v>Velutina undata</v>
          </cell>
          <cell r="B1179">
            <v>348</v>
          </cell>
        </row>
        <row r="1180">
          <cell r="A1180" t="str">
            <v>Velutina velutina</v>
          </cell>
          <cell r="B1180">
            <v>349</v>
          </cell>
        </row>
        <row r="1181">
          <cell r="A1181" t="str">
            <v>Verruca stroemia</v>
          </cell>
          <cell r="B1181">
            <v>235</v>
          </cell>
        </row>
        <row r="1182">
          <cell r="A1182" t="str">
            <v>Verticillina verticillata</v>
          </cell>
          <cell r="B1182">
            <v>55</v>
          </cell>
        </row>
        <row r="1183">
          <cell r="A1183" t="str">
            <v>Verticordiiformes</v>
          </cell>
          <cell r="B1183">
            <v>1078</v>
          </cell>
        </row>
        <row r="1184">
          <cell r="A1184" t="str">
            <v>Volutopsis sp.</v>
          </cell>
          <cell r="B1184">
            <v>1066</v>
          </cell>
        </row>
        <row r="1185">
          <cell r="A1185" t="str">
            <v>Vosmaeria crustacea</v>
          </cell>
          <cell r="B1185">
            <v>893</v>
          </cell>
        </row>
        <row r="1186">
          <cell r="A1186" t="str">
            <v>Westwoodilla brevicalcar</v>
          </cell>
          <cell r="B1186">
            <v>126</v>
          </cell>
        </row>
        <row r="1187">
          <cell r="A1187" t="str">
            <v>Westwoodilla megalops</v>
          </cell>
          <cell r="B1187">
            <v>127</v>
          </cell>
        </row>
        <row r="1188">
          <cell r="A1188" t="str">
            <v>Westwoodilla sp.</v>
          </cell>
          <cell r="B1188">
            <v>128</v>
          </cell>
        </row>
        <row r="1189">
          <cell r="A1189" t="str">
            <v>Weyprechtia pinguis</v>
          </cell>
          <cell r="B1189">
            <v>195</v>
          </cell>
        </row>
        <row r="1190">
          <cell r="A1190" t="str">
            <v>Yoldia hyperborea</v>
          </cell>
          <cell r="B1190">
            <v>464</v>
          </cell>
        </row>
        <row r="1191">
          <cell r="A1191" t="str">
            <v>Yoldiella intermedia</v>
          </cell>
          <cell r="B1191">
            <v>466</v>
          </cell>
        </row>
        <row r="1192">
          <cell r="A1192" t="str">
            <v>Yoldiella lenticula</v>
          </cell>
          <cell r="B1192">
            <v>1110</v>
          </cell>
        </row>
        <row r="1193">
          <cell r="A1193" t="str">
            <v>Yoldiella nana</v>
          </cell>
          <cell r="B1193">
            <v>465</v>
          </cell>
        </row>
        <row r="1194">
          <cell r="A1194" t="str">
            <v>Zirfaea crispata</v>
          </cell>
          <cell r="B1194">
            <v>444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5" sqref="B15"/>
    </sheetView>
  </sheetViews>
  <sheetFormatPr defaultColWidth="8.77734375" defaultRowHeight="14.4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opLeftCell="E1" workbookViewId="0">
      <selection activeCell="G4" sqref="G4"/>
    </sheetView>
  </sheetViews>
  <sheetFormatPr defaultColWidth="8.77734375" defaultRowHeight="14.4"/>
  <cols>
    <col min="1" max="1" width="11.109375" customWidth="1"/>
    <col min="2" max="2" width="12" customWidth="1"/>
    <col min="3" max="3" width="9.44140625" customWidth="1"/>
    <col min="4" max="4" width="10" customWidth="1"/>
    <col min="5" max="5" width="7.5546875" customWidth="1"/>
    <col min="6" max="6" width="10.21875" customWidth="1"/>
    <col min="7" max="7" width="12.6640625" customWidth="1"/>
    <col min="8" max="10" width="10.21875" customWidth="1"/>
    <col min="11" max="11" width="1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6">
        <v>45841</v>
      </c>
      <c r="B2">
        <v>34</v>
      </c>
      <c r="C2">
        <v>64.346360000000004</v>
      </c>
      <c r="D2">
        <v>37.30762</v>
      </c>
      <c r="E2">
        <v>3</v>
      </c>
      <c r="F2" t="s">
        <v>11</v>
      </c>
      <c r="I2">
        <v>25</v>
      </c>
      <c r="J2">
        <v>264.3</v>
      </c>
      <c r="K2" t="s">
        <v>12</v>
      </c>
    </row>
    <row r="3" spans="1:11">
      <c r="A3" s="16">
        <v>45841</v>
      </c>
      <c r="B3">
        <v>34</v>
      </c>
      <c r="C3">
        <v>64.346360000000004</v>
      </c>
      <c r="D3">
        <v>37.30762</v>
      </c>
      <c r="E3">
        <v>2</v>
      </c>
      <c r="F3" t="s">
        <v>13</v>
      </c>
      <c r="I3">
        <v>25</v>
      </c>
      <c r="J3">
        <v>67</v>
      </c>
      <c r="K3" t="s">
        <v>12</v>
      </c>
    </row>
    <row r="4" spans="1:11">
      <c r="A4" s="16">
        <v>45841</v>
      </c>
      <c r="B4">
        <v>34</v>
      </c>
      <c r="C4">
        <v>64.346360000000004</v>
      </c>
      <c r="D4">
        <v>37.30762</v>
      </c>
    </row>
    <row r="5" spans="1:11">
      <c r="A5" s="16">
        <v>45841</v>
      </c>
      <c r="B5">
        <v>32</v>
      </c>
      <c r="C5">
        <v>64.345789999999994</v>
      </c>
      <c r="D5">
        <v>37.310169999999999</v>
      </c>
      <c r="I5">
        <v>32</v>
      </c>
      <c r="K5" t="s">
        <v>14</v>
      </c>
    </row>
    <row r="6" spans="1:11">
      <c r="A6" s="16">
        <v>45840</v>
      </c>
      <c r="B6">
        <v>31</v>
      </c>
      <c r="C6">
        <v>64.342780000000005</v>
      </c>
      <c r="D6">
        <v>37.326639999999998</v>
      </c>
      <c r="I6">
        <v>24.5</v>
      </c>
      <c r="K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302"/>
  <sheetViews>
    <sheetView tabSelected="1" topLeftCell="A44" zoomScaleNormal="100" workbookViewId="0">
      <selection activeCell="A2" sqref="A2"/>
    </sheetView>
  </sheetViews>
  <sheetFormatPr defaultColWidth="8.77734375" defaultRowHeight="14.4"/>
  <cols>
    <col min="3" max="3" width="13.44140625" customWidth="1"/>
    <col min="5" max="5" width="16.5546875" customWidth="1"/>
    <col min="9" max="12" width="12.77734375"/>
  </cols>
  <sheetData>
    <row r="1" spans="1:10">
      <c r="A1" t="s">
        <v>1</v>
      </c>
      <c r="B1" t="s">
        <v>4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>
        <v>8</v>
      </c>
      <c r="B2">
        <v>3</v>
      </c>
      <c r="C2" t="s">
        <v>80</v>
      </c>
      <c r="D2" t="s">
        <v>25</v>
      </c>
      <c r="E2" t="s">
        <v>26</v>
      </c>
      <c r="F2">
        <f>VLOOKUP(E2,species_list!A$2:B$1194,2,FALSE)</f>
        <v>435</v>
      </c>
      <c r="G2" s="15"/>
      <c r="H2">
        <v>11.456</v>
      </c>
      <c r="I2" t="s">
        <v>27</v>
      </c>
      <c r="J2" t="s">
        <v>1280</v>
      </c>
    </row>
    <row r="3" spans="1:10">
      <c r="A3">
        <v>8</v>
      </c>
      <c r="B3">
        <v>3</v>
      </c>
      <c r="C3" t="s">
        <v>80</v>
      </c>
      <c r="D3" t="s">
        <v>25</v>
      </c>
      <c r="E3" t="s">
        <v>75</v>
      </c>
      <c r="F3">
        <f>VLOOKUP(E3,species_list!A$2:B$1194,2,FALSE)</f>
        <v>789</v>
      </c>
      <c r="G3">
        <v>2</v>
      </c>
      <c r="H3">
        <v>2.5000000000000001E-2</v>
      </c>
      <c r="I3" t="s">
        <v>27</v>
      </c>
      <c r="J3" t="s">
        <v>1280</v>
      </c>
    </row>
    <row r="4" spans="1:10">
      <c r="A4">
        <v>8</v>
      </c>
      <c r="B4">
        <v>3</v>
      </c>
      <c r="C4" t="s">
        <v>80</v>
      </c>
      <c r="D4" t="s">
        <v>25</v>
      </c>
      <c r="E4" t="s">
        <v>41</v>
      </c>
      <c r="F4">
        <f>VLOOKUP(E4,species_list!A$2:B$1194,2,FALSE)</f>
        <v>828</v>
      </c>
      <c r="G4">
        <v>3</v>
      </c>
      <c r="H4">
        <v>5.0000000000000001E-3</v>
      </c>
      <c r="I4" t="s">
        <v>27</v>
      </c>
      <c r="J4" t="s">
        <v>1280</v>
      </c>
    </row>
    <row r="5" spans="1:10">
      <c r="A5">
        <v>8</v>
      </c>
      <c r="B5">
        <v>3</v>
      </c>
      <c r="C5" t="s">
        <v>80</v>
      </c>
      <c r="D5" t="s">
        <v>25</v>
      </c>
      <c r="E5" t="s">
        <v>72</v>
      </c>
      <c r="F5">
        <f>VLOOKUP(E5,species_list!A$2:B$1194,2,FALSE)</f>
        <v>376</v>
      </c>
      <c r="G5">
        <v>72</v>
      </c>
      <c r="H5">
        <v>0.372</v>
      </c>
      <c r="I5" t="s">
        <v>27</v>
      </c>
      <c r="J5" t="s">
        <v>1281</v>
      </c>
    </row>
    <row r="6" spans="1:10">
      <c r="A6">
        <v>8</v>
      </c>
      <c r="B6">
        <v>3</v>
      </c>
      <c r="C6" t="s">
        <v>80</v>
      </c>
      <c r="D6" t="s">
        <v>25</v>
      </c>
      <c r="E6" t="s">
        <v>44</v>
      </c>
      <c r="F6">
        <f>VLOOKUP(E6,species_list!A$2:B$1194,2,FALSE)</f>
        <v>375</v>
      </c>
      <c r="G6">
        <v>407</v>
      </c>
      <c r="H6">
        <v>3.4380000000000002</v>
      </c>
      <c r="I6" t="s">
        <v>27</v>
      </c>
      <c r="J6" t="s">
        <v>1282</v>
      </c>
    </row>
    <row r="7" spans="1:10">
      <c r="A7">
        <v>8</v>
      </c>
      <c r="B7">
        <v>3</v>
      </c>
      <c r="C7" t="s">
        <v>80</v>
      </c>
      <c r="D7" t="s">
        <v>25</v>
      </c>
      <c r="E7" t="s">
        <v>1270</v>
      </c>
      <c r="F7" t="e">
        <f>VLOOKUP(E7,species_list!A$2:B$1194,2,FALSE)</f>
        <v>#N/A</v>
      </c>
      <c r="G7">
        <v>51</v>
      </c>
      <c r="H7">
        <v>2.7E-2</v>
      </c>
      <c r="I7" t="s">
        <v>1250</v>
      </c>
      <c r="J7" t="s">
        <v>1280</v>
      </c>
    </row>
    <row r="8" spans="1:10">
      <c r="A8">
        <v>8</v>
      </c>
      <c r="B8">
        <v>3</v>
      </c>
      <c r="C8" t="s">
        <v>80</v>
      </c>
      <c r="D8" t="s">
        <v>25</v>
      </c>
      <c r="E8" t="s">
        <v>1027</v>
      </c>
      <c r="F8">
        <f>VLOOKUP(E8,species_list!A$2:B$1194,2,FALSE)</f>
        <v>788</v>
      </c>
      <c r="G8">
        <v>1</v>
      </c>
      <c r="H8">
        <v>1E-3</v>
      </c>
      <c r="I8" t="s">
        <v>1250</v>
      </c>
      <c r="J8" t="s">
        <v>1280</v>
      </c>
    </row>
    <row r="9" spans="1:10">
      <c r="A9">
        <v>8</v>
      </c>
      <c r="B9">
        <v>3</v>
      </c>
      <c r="C9" t="s">
        <v>80</v>
      </c>
      <c r="D9" t="s">
        <v>25</v>
      </c>
      <c r="E9" t="s">
        <v>38</v>
      </c>
      <c r="F9">
        <f>VLOOKUP(E9,species_list!A$2:B$1194,2,FALSE)</f>
        <v>784</v>
      </c>
      <c r="G9">
        <v>1</v>
      </c>
      <c r="H9">
        <v>1E-3</v>
      </c>
      <c r="I9" t="s">
        <v>1250</v>
      </c>
      <c r="J9" t="s">
        <v>1280</v>
      </c>
    </row>
    <row r="10" spans="1:10">
      <c r="A10">
        <v>8</v>
      </c>
      <c r="B10">
        <v>2</v>
      </c>
      <c r="C10" t="s">
        <v>84</v>
      </c>
      <c r="D10" t="s">
        <v>25</v>
      </c>
      <c r="E10" t="s">
        <v>26</v>
      </c>
      <c r="F10">
        <f>VLOOKUP(E10,species_list!A$2:B$1194,2,FALSE)</f>
        <v>435</v>
      </c>
      <c r="G10">
        <v>24</v>
      </c>
      <c r="H10">
        <v>6.8949999999999996</v>
      </c>
      <c r="I10" t="s">
        <v>27</v>
      </c>
      <c r="J10" t="s">
        <v>1283</v>
      </c>
    </row>
    <row r="11" spans="1:10">
      <c r="A11">
        <v>8</v>
      </c>
      <c r="B11">
        <v>2</v>
      </c>
      <c r="C11" t="s">
        <v>84</v>
      </c>
      <c r="D11" t="s">
        <v>25</v>
      </c>
      <c r="E11" t="s">
        <v>58</v>
      </c>
      <c r="F11">
        <f>VLOOKUP(E11,species_list!A$2:B$1194,2,FALSE)</f>
        <v>440</v>
      </c>
      <c r="G11">
        <v>3</v>
      </c>
      <c r="H11">
        <v>1.1990000000000001</v>
      </c>
      <c r="I11" t="s">
        <v>27</v>
      </c>
      <c r="J11" t="s">
        <v>1283</v>
      </c>
    </row>
    <row r="12" spans="1:10">
      <c r="A12">
        <v>8</v>
      </c>
      <c r="B12">
        <v>2</v>
      </c>
      <c r="C12" t="s">
        <v>84</v>
      </c>
      <c r="D12" t="s">
        <v>25</v>
      </c>
      <c r="E12" t="s">
        <v>44</v>
      </c>
      <c r="F12">
        <f>VLOOKUP(E12,species_list!A$2:B$1194,2,FALSE)</f>
        <v>375</v>
      </c>
      <c r="G12">
        <v>549</v>
      </c>
      <c r="H12">
        <v>1.266</v>
      </c>
      <c r="I12" t="s">
        <v>27</v>
      </c>
      <c r="J12" t="s">
        <v>85</v>
      </c>
    </row>
    <row r="13" spans="1:10">
      <c r="A13">
        <v>8</v>
      </c>
      <c r="B13">
        <v>2</v>
      </c>
      <c r="C13" t="s">
        <v>84</v>
      </c>
      <c r="D13" t="s">
        <v>25</v>
      </c>
      <c r="E13" t="s">
        <v>72</v>
      </c>
      <c r="F13">
        <f>VLOOKUP(E13,species_list!A$2:B$1194,2,FALSE)</f>
        <v>376</v>
      </c>
      <c r="G13">
        <v>40</v>
      </c>
      <c r="H13">
        <v>6.5000000000000002E-2</v>
      </c>
      <c r="I13" t="s">
        <v>27</v>
      </c>
      <c r="J13" t="s">
        <v>85</v>
      </c>
    </row>
    <row r="14" spans="1:10">
      <c r="A14">
        <v>8</v>
      </c>
      <c r="B14">
        <v>2</v>
      </c>
      <c r="C14" t="s">
        <v>84</v>
      </c>
      <c r="D14" t="s">
        <v>25</v>
      </c>
      <c r="E14" t="s">
        <v>41</v>
      </c>
      <c r="F14">
        <f>VLOOKUP(E14,species_list!A$2:B$1194,2,FALSE)</f>
        <v>828</v>
      </c>
      <c r="G14">
        <v>2</v>
      </c>
      <c r="H14">
        <v>3.0000000000000001E-3</v>
      </c>
      <c r="I14" t="s">
        <v>1250</v>
      </c>
      <c r="J14" t="s">
        <v>1283</v>
      </c>
    </row>
    <row r="15" spans="1:10">
      <c r="A15">
        <v>8</v>
      </c>
      <c r="B15">
        <v>2</v>
      </c>
      <c r="C15" t="s">
        <v>84</v>
      </c>
      <c r="D15" t="s">
        <v>25</v>
      </c>
      <c r="E15" t="s">
        <v>38</v>
      </c>
      <c r="F15">
        <f>VLOOKUP(E15,species_list!A$2:B$1194,2,FALSE)</f>
        <v>784</v>
      </c>
      <c r="G15">
        <v>1</v>
      </c>
      <c r="H15">
        <v>1E-3</v>
      </c>
      <c r="I15" t="s">
        <v>1250</v>
      </c>
      <c r="J15" t="s">
        <v>1283</v>
      </c>
    </row>
    <row r="16" spans="1:10">
      <c r="A16">
        <v>8</v>
      </c>
      <c r="B16">
        <v>2</v>
      </c>
      <c r="C16" t="s">
        <v>84</v>
      </c>
      <c r="D16" t="s">
        <v>25</v>
      </c>
      <c r="E16" t="s">
        <v>1270</v>
      </c>
      <c r="F16" t="e">
        <f>VLOOKUP(E16,species_list!A$2:B$1194,2,FALSE)</f>
        <v>#N/A</v>
      </c>
      <c r="G16">
        <v>101</v>
      </c>
      <c r="H16">
        <v>5.7000000000000002E-2</v>
      </c>
      <c r="I16" t="s">
        <v>1250</v>
      </c>
      <c r="J16" t="s">
        <v>1283</v>
      </c>
    </row>
    <row r="17" spans="1:10">
      <c r="A17">
        <v>8</v>
      </c>
      <c r="B17">
        <v>1</v>
      </c>
      <c r="C17" t="s">
        <v>1297</v>
      </c>
      <c r="D17" t="s">
        <v>25</v>
      </c>
      <c r="E17" t="s">
        <v>1027</v>
      </c>
      <c r="F17">
        <f>VLOOKUP(E17,species_list!A$2:B$1194,2,FALSE)</f>
        <v>788</v>
      </c>
      <c r="G17">
        <v>1</v>
      </c>
      <c r="H17">
        <v>1.7000000000000001E-2</v>
      </c>
      <c r="I17" t="s">
        <v>1250</v>
      </c>
      <c r="J17" t="s">
        <v>1296</v>
      </c>
    </row>
    <row r="18" spans="1:10">
      <c r="A18">
        <v>8</v>
      </c>
      <c r="B18">
        <v>1</v>
      </c>
      <c r="C18" t="s">
        <v>1297</v>
      </c>
      <c r="D18" t="s">
        <v>25</v>
      </c>
      <c r="E18" t="s">
        <v>58</v>
      </c>
      <c r="F18">
        <f>VLOOKUP(E18,species_list!A$2:B$1194,2,FALSE)</f>
        <v>440</v>
      </c>
      <c r="G18">
        <v>16</v>
      </c>
      <c r="H18">
        <v>4.5949999999999998</v>
      </c>
      <c r="I18" t="s">
        <v>1250</v>
      </c>
      <c r="J18" t="s">
        <v>1296</v>
      </c>
    </row>
    <row r="19" spans="1:10">
      <c r="A19">
        <v>8</v>
      </c>
      <c r="B19">
        <v>1</v>
      </c>
      <c r="C19" t="s">
        <v>1297</v>
      </c>
      <c r="D19" t="s">
        <v>25</v>
      </c>
      <c r="E19" t="s">
        <v>1270</v>
      </c>
      <c r="F19" t="e">
        <f>VLOOKUP(E19,species_list!A$2:B$1194,2,FALSE)</f>
        <v>#N/A</v>
      </c>
      <c r="G19">
        <v>2531</v>
      </c>
      <c r="H19">
        <v>4.2619999999999996</v>
      </c>
      <c r="I19" t="s">
        <v>1250</v>
      </c>
      <c r="J19" t="s">
        <v>1296</v>
      </c>
    </row>
    <row r="20" spans="1:10">
      <c r="A20">
        <v>8</v>
      </c>
      <c r="B20">
        <v>1</v>
      </c>
      <c r="C20" t="s">
        <v>1297</v>
      </c>
      <c r="D20" t="s">
        <v>25</v>
      </c>
      <c r="E20" t="s">
        <v>38</v>
      </c>
      <c r="F20">
        <f>VLOOKUP(E20,species_list!A$2:B$1194,2,FALSE)</f>
        <v>784</v>
      </c>
      <c r="G20">
        <v>2</v>
      </c>
      <c r="H20">
        <v>2E-3</v>
      </c>
      <c r="I20" t="s">
        <v>1250</v>
      </c>
      <c r="J20" s="15" t="s">
        <v>1301</v>
      </c>
    </row>
    <row r="21" spans="1:10">
      <c r="A21">
        <v>8</v>
      </c>
      <c r="B21">
        <v>1</v>
      </c>
      <c r="C21" t="s">
        <v>1297</v>
      </c>
      <c r="D21" t="s">
        <v>25</v>
      </c>
      <c r="E21" t="s">
        <v>54</v>
      </c>
      <c r="F21">
        <f>VLOOKUP(E21,species_list!A$2:B$1194,2,FALSE)</f>
        <v>740</v>
      </c>
      <c r="G21">
        <v>6</v>
      </c>
      <c r="H21">
        <v>3.0000000000000001E-3</v>
      </c>
      <c r="I21" t="s">
        <v>1250</v>
      </c>
      <c r="J21" s="15" t="s">
        <v>1301</v>
      </c>
    </row>
    <row r="22" spans="1:10">
      <c r="A22">
        <v>8</v>
      </c>
      <c r="B22">
        <v>1</v>
      </c>
      <c r="C22" t="s">
        <v>1297</v>
      </c>
      <c r="D22" t="s">
        <v>25</v>
      </c>
      <c r="E22" t="s">
        <v>40</v>
      </c>
      <c r="F22">
        <f>VLOOKUP(E22,species_list!A$2:B$1194,2,FALSE)</f>
        <v>829</v>
      </c>
      <c r="G22">
        <v>3</v>
      </c>
      <c r="H22">
        <v>2E-3</v>
      </c>
      <c r="I22" t="s">
        <v>1250</v>
      </c>
      <c r="J22" s="15" t="s">
        <v>1301</v>
      </c>
    </row>
    <row r="23" spans="1:10">
      <c r="A23">
        <v>8</v>
      </c>
      <c r="B23">
        <v>1</v>
      </c>
      <c r="C23" t="s">
        <v>1297</v>
      </c>
      <c r="D23" t="s">
        <v>25</v>
      </c>
      <c r="E23" t="s">
        <v>41</v>
      </c>
      <c r="F23">
        <f>VLOOKUP(E23,species_list!A$2:B$1194,2,FALSE)</f>
        <v>828</v>
      </c>
      <c r="G23">
        <v>4</v>
      </c>
      <c r="H23">
        <v>1E-3</v>
      </c>
      <c r="I23" t="s">
        <v>1250</v>
      </c>
      <c r="J23" s="15" t="s">
        <v>1301</v>
      </c>
    </row>
    <row r="24" spans="1:10">
      <c r="A24">
        <v>8</v>
      </c>
      <c r="B24">
        <v>1</v>
      </c>
      <c r="C24" t="s">
        <v>1297</v>
      </c>
      <c r="D24" t="s">
        <v>25</v>
      </c>
      <c r="E24" t="s">
        <v>26</v>
      </c>
      <c r="F24">
        <f>VLOOKUP(E24,species_list!A$2:B$1194,2,FALSE)</f>
        <v>435</v>
      </c>
      <c r="G24">
        <v>85</v>
      </c>
      <c r="H24">
        <v>24.600999999999999</v>
      </c>
      <c r="I24" t="s">
        <v>1250</v>
      </c>
      <c r="J24" s="15" t="s">
        <v>1301</v>
      </c>
    </row>
    <row r="25" spans="1:10">
      <c r="A25">
        <v>16</v>
      </c>
      <c r="B25">
        <v>3</v>
      </c>
      <c r="C25" t="s">
        <v>78</v>
      </c>
      <c r="D25" t="s">
        <v>25</v>
      </c>
      <c r="E25" t="s">
        <v>26</v>
      </c>
      <c r="F25">
        <f>VLOOKUP(E25,species_list!A$2:B$1194,2,FALSE)</f>
        <v>435</v>
      </c>
      <c r="G25">
        <v>18</v>
      </c>
      <c r="H25">
        <v>4.6310000000000002</v>
      </c>
      <c r="I25" t="s">
        <v>27</v>
      </c>
      <c r="J25" t="s">
        <v>1288</v>
      </c>
    </row>
    <row r="26" spans="1:10">
      <c r="A26">
        <v>16</v>
      </c>
      <c r="B26">
        <v>3</v>
      </c>
      <c r="C26" t="s">
        <v>78</v>
      </c>
      <c r="D26" t="s">
        <v>25</v>
      </c>
      <c r="E26" t="s">
        <v>38</v>
      </c>
      <c r="F26">
        <f>VLOOKUP(E26,species_list!A$2:B$1194,2,FALSE)</f>
        <v>784</v>
      </c>
      <c r="G26">
        <v>1</v>
      </c>
      <c r="H26">
        <v>2E-3</v>
      </c>
      <c r="I26" t="s">
        <v>27</v>
      </c>
      <c r="J26" t="s">
        <v>1288</v>
      </c>
    </row>
    <row r="27" spans="1:10">
      <c r="A27">
        <v>16</v>
      </c>
      <c r="B27">
        <v>3</v>
      </c>
      <c r="C27" t="s">
        <v>78</v>
      </c>
      <c r="D27" t="s">
        <v>25</v>
      </c>
      <c r="E27" t="s">
        <v>71</v>
      </c>
      <c r="F27">
        <f>VLOOKUP(E27,species_list!A$2:B$1194,2,FALSE)</f>
        <v>833</v>
      </c>
      <c r="G27">
        <v>1</v>
      </c>
      <c r="H27">
        <v>1E-3</v>
      </c>
      <c r="I27" t="s">
        <v>27</v>
      </c>
      <c r="J27" t="s">
        <v>1288</v>
      </c>
    </row>
    <row r="28" spans="1:10">
      <c r="A28">
        <v>16</v>
      </c>
      <c r="B28">
        <v>3</v>
      </c>
      <c r="C28" t="s">
        <v>78</v>
      </c>
      <c r="D28" t="s">
        <v>25</v>
      </c>
      <c r="E28" t="s">
        <v>41</v>
      </c>
      <c r="F28">
        <f>VLOOKUP(E28,species_list!A$2:B$1194,2,FALSE)</f>
        <v>828</v>
      </c>
      <c r="G28">
        <v>10</v>
      </c>
      <c r="H28">
        <v>1.0999999999999999E-2</v>
      </c>
      <c r="I28" t="s">
        <v>27</v>
      </c>
      <c r="J28" t="s">
        <v>1288</v>
      </c>
    </row>
    <row r="29" spans="1:10">
      <c r="A29">
        <v>16</v>
      </c>
      <c r="B29">
        <v>3</v>
      </c>
      <c r="C29" t="s">
        <v>78</v>
      </c>
      <c r="D29" t="s">
        <v>25</v>
      </c>
      <c r="E29" t="s">
        <v>72</v>
      </c>
      <c r="F29">
        <f>VLOOKUP(E29,species_list!A$2:B$1194,2,FALSE)</f>
        <v>376</v>
      </c>
      <c r="G29">
        <v>18</v>
      </c>
      <c r="H29">
        <v>7.5999999999999998E-2</v>
      </c>
      <c r="I29" t="s">
        <v>27</v>
      </c>
      <c r="J29" t="s">
        <v>1289</v>
      </c>
    </row>
    <row r="30" spans="1:10">
      <c r="A30">
        <v>16</v>
      </c>
      <c r="B30">
        <v>3</v>
      </c>
      <c r="C30" t="s">
        <v>78</v>
      </c>
      <c r="D30" t="s">
        <v>25</v>
      </c>
      <c r="E30" t="s">
        <v>44</v>
      </c>
      <c r="F30">
        <f>VLOOKUP(E30,species_list!A$2:B$1194,2,FALSE)</f>
        <v>375</v>
      </c>
      <c r="G30">
        <v>986</v>
      </c>
      <c r="H30">
        <v>5.8310000000000004</v>
      </c>
      <c r="I30" t="s">
        <v>27</v>
      </c>
      <c r="J30" t="s">
        <v>1289</v>
      </c>
    </row>
    <row r="31" spans="1:10">
      <c r="A31">
        <v>16</v>
      </c>
      <c r="B31">
        <v>3</v>
      </c>
      <c r="C31" t="s">
        <v>78</v>
      </c>
      <c r="D31" t="s">
        <v>25</v>
      </c>
      <c r="E31" t="s">
        <v>1036</v>
      </c>
      <c r="F31">
        <f>VLOOKUP(E31,species_list!A$2:B$1194,2,FALSE)</f>
        <v>797</v>
      </c>
      <c r="G31">
        <v>5</v>
      </c>
      <c r="H31">
        <v>2E-3</v>
      </c>
      <c r="I31" t="s">
        <v>1250</v>
      </c>
      <c r="J31" t="s">
        <v>1290</v>
      </c>
    </row>
    <row r="32" spans="1:10">
      <c r="A32">
        <v>16</v>
      </c>
      <c r="B32">
        <v>3</v>
      </c>
      <c r="C32" t="s">
        <v>78</v>
      </c>
      <c r="D32" t="s">
        <v>25</v>
      </c>
      <c r="E32" t="s">
        <v>36</v>
      </c>
      <c r="F32">
        <f>VLOOKUP(E32,species_list!A$2:B$1194,2,FALSE)</f>
        <v>642</v>
      </c>
      <c r="G32">
        <v>1</v>
      </c>
      <c r="H32">
        <v>2E-3</v>
      </c>
      <c r="I32" t="s">
        <v>1250</v>
      </c>
      <c r="J32" t="s">
        <v>1288</v>
      </c>
    </row>
    <row r="33" spans="1:10">
      <c r="A33">
        <v>16</v>
      </c>
      <c r="B33">
        <v>3</v>
      </c>
      <c r="C33" t="s">
        <v>78</v>
      </c>
      <c r="D33" t="s">
        <v>25</v>
      </c>
      <c r="E33" t="s">
        <v>35</v>
      </c>
      <c r="F33">
        <f>VLOOKUP(E33,species_list!A$2:B$1194,2,FALSE)</f>
        <v>709</v>
      </c>
      <c r="G33">
        <v>1</v>
      </c>
      <c r="H33">
        <v>2E-3</v>
      </c>
      <c r="I33" t="s">
        <v>1250</v>
      </c>
      <c r="J33" t="s">
        <v>1288</v>
      </c>
    </row>
    <row r="34" spans="1:10">
      <c r="A34">
        <v>16</v>
      </c>
      <c r="B34">
        <v>3</v>
      </c>
      <c r="C34" t="s">
        <v>78</v>
      </c>
      <c r="D34" t="s">
        <v>25</v>
      </c>
      <c r="E34" t="s">
        <v>54</v>
      </c>
      <c r="F34">
        <f>VLOOKUP(E34,species_list!A$2:B$1194,2,FALSE)</f>
        <v>740</v>
      </c>
      <c r="G34">
        <v>1</v>
      </c>
      <c r="H34">
        <v>1E-3</v>
      </c>
      <c r="I34" t="s">
        <v>1250</v>
      </c>
      <c r="J34" t="s">
        <v>1288</v>
      </c>
    </row>
    <row r="35" spans="1:10">
      <c r="A35">
        <v>16</v>
      </c>
      <c r="B35">
        <v>3</v>
      </c>
      <c r="C35" t="s">
        <v>78</v>
      </c>
      <c r="D35" t="s">
        <v>25</v>
      </c>
      <c r="E35" t="s">
        <v>40</v>
      </c>
      <c r="F35">
        <f>VLOOKUP(E35,species_list!A$2:B$1194,2,FALSE)</f>
        <v>829</v>
      </c>
      <c r="G35">
        <v>1</v>
      </c>
      <c r="H35">
        <v>1E-3</v>
      </c>
      <c r="I35" t="s">
        <v>1250</v>
      </c>
      <c r="J35" t="s">
        <v>1288</v>
      </c>
    </row>
    <row r="36" spans="1:10">
      <c r="A36">
        <v>16</v>
      </c>
      <c r="B36">
        <v>3</v>
      </c>
      <c r="C36" t="s">
        <v>78</v>
      </c>
      <c r="D36" t="s">
        <v>25</v>
      </c>
      <c r="E36" t="s">
        <v>1270</v>
      </c>
      <c r="F36" t="e">
        <f>VLOOKUP(E36,species_list!A$2:B$1194,2,FALSE)</f>
        <v>#N/A</v>
      </c>
      <c r="G36">
        <v>9</v>
      </c>
      <c r="H36">
        <v>8.0000000000000002E-3</v>
      </c>
      <c r="I36" t="s">
        <v>1250</v>
      </c>
      <c r="J36" t="s">
        <v>1288</v>
      </c>
    </row>
    <row r="37" spans="1:10">
      <c r="A37">
        <v>16</v>
      </c>
      <c r="B37">
        <v>2</v>
      </c>
      <c r="C37" t="s">
        <v>81</v>
      </c>
      <c r="D37" t="s">
        <v>25</v>
      </c>
      <c r="E37" t="s">
        <v>26</v>
      </c>
      <c r="F37">
        <f>VLOOKUP(E37,species_list!A$2:B$1194,2,FALSE)</f>
        <v>435</v>
      </c>
      <c r="G37">
        <v>15</v>
      </c>
      <c r="H37">
        <v>3.28</v>
      </c>
      <c r="I37" t="s">
        <v>27</v>
      </c>
      <c r="J37" t="s">
        <v>82</v>
      </c>
    </row>
    <row r="38" spans="1:10">
      <c r="A38">
        <v>16</v>
      </c>
      <c r="B38">
        <v>2</v>
      </c>
      <c r="C38" t="s">
        <v>81</v>
      </c>
      <c r="D38" t="s">
        <v>25</v>
      </c>
      <c r="E38" t="s">
        <v>58</v>
      </c>
      <c r="F38">
        <f>VLOOKUP(E38,species_list!A$2:B$1194,2,FALSE)</f>
        <v>440</v>
      </c>
      <c r="G38">
        <v>2</v>
      </c>
      <c r="H38">
        <v>1.952</v>
      </c>
      <c r="I38" t="s">
        <v>27</v>
      </c>
      <c r="J38" t="s">
        <v>82</v>
      </c>
    </row>
    <row r="39" spans="1:10">
      <c r="A39">
        <v>16</v>
      </c>
      <c r="B39">
        <v>2</v>
      </c>
      <c r="C39" t="s">
        <v>81</v>
      </c>
      <c r="D39" t="s">
        <v>25</v>
      </c>
      <c r="E39" t="s">
        <v>38</v>
      </c>
      <c r="F39">
        <f>VLOOKUP(E39,species_list!A$2:B$1194,2,FALSE)</f>
        <v>784</v>
      </c>
      <c r="G39">
        <v>2</v>
      </c>
      <c r="H39">
        <v>5.0000000000000001E-3</v>
      </c>
      <c r="I39" t="s">
        <v>27</v>
      </c>
      <c r="J39" t="s">
        <v>82</v>
      </c>
    </row>
    <row r="40" spans="1:10">
      <c r="A40">
        <v>16</v>
      </c>
      <c r="B40">
        <v>2</v>
      </c>
      <c r="C40" t="s">
        <v>81</v>
      </c>
      <c r="D40" t="s">
        <v>25</v>
      </c>
      <c r="E40" t="s">
        <v>54</v>
      </c>
      <c r="F40">
        <f>VLOOKUP(E40,species_list!A$2:B$1194,2,FALSE)</f>
        <v>740</v>
      </c>
      <c r="G40">
        <v>2</v>
      </c>
      <c r="H40">
        <v>4.0000000000000001E-3</v>
      </c>
      <c r="I40" t="s">
        <v>27</v>
      </c>
      <c r="J40" t="s">
        <v>82</v>
      </c>
    </row>
    <row r="41" spans="1:10">
      <c r="A41">
        <v>16</v>
      </c>
      <c r="B41">
        <v>2</v>
      </c>
      <c r="C41" t="s">
        <v>81</v>
      </c>
      <c r="D41" t="s">
        <v>25</v>
      </c>
      <c r="E41" t="s">
        <v>41</v>
      </c>
      <c r="F41">
        <f>VLOOKUP(E41,species_list!A$2:B$1194,2,FALSE)</f>
        <v>828</v>
      </c>
      <c r="G41">
        <v>27</v>
      </c>
      <c r="H41">
        <v>1.7000000000000001E-2</v>
      </c>
      <c r="I41" t="s">
        <v>27</v>
      </c>
      <c r="J41" t="s">
        <v>82</v>
      </c>
    </row>
    <row r="42" spans="1:10">
      <c r="A42">
        <v>16</v>
      </c>
      <c r="B42">
        <v>2</v>
      </c>
      <c r="C42" t="s">
        <v>81</v>
      </c>
      <c r="D42" t="s">
        <v>25</v>
      </c>
      <c r="E42" t="s">
        <v>40</v>
      </c>
      <c r="F42">
        <f>VLOOKUP(E42,species_list!A$2:B$1194,2,FALSE)</f>
        <v>829</v>
      </c>
      <c r="G42">
        <v>6</v>
      </c>
      <c r="H42">
        <v>7.0000000000000001E-3</v>
      </c>
      <c r="I42" t="s">
        <v>27</v>
      </c>
      <c r="J42" t="s">
        <v>82</v>
      </c>
    </row>
    <row r="43" spans="1:10">
      <c r="A43">
        <v>16</v>
      </c>
      <c r="B43">
        <v>2</v>
      </c>
      <c r="C43" t="s">
        <v>81</v>
      </c>
      <c r="D43" t="s">
        <v>25</v>
      </c>
      <c r="E43" t="s">
        <v>72</v>
      </c>
      <c r="F43">
        <f>VLOOKUP(E43,species_list!A$2:B$1194,2,FALSE)</f>
        <v>376</v>
      </c>
      <c r="G43">
        <v>93</v>
      </c>
      <c r="H43">
        <v>0.187</v>
      </c>
      <c r="I43" t="s">
        <v>27</v>
      </c>
      <c r="J43" t="s">
        <v>83</v>
      </c>
    </row>
    <row r="44" spans="1:10">
      <c r="A44">
        <v>16</v>
      </c>
      <c r="B44">
        <v>2</v>
      </c>
      <c r="C44" t="s">
        <v>81</v>
      </c>
      <c r="D44" t="s">
        <v>25</v>
      </c>
      <c r="E44" t="s">
        <v>44</v>
      </c>
      <c r="F44">
        <f>VLOOKUP(E44,species_list!A$2:B$1194,2,FALSE)</f>
        <v>375</v>
      </c>
      <c r="G44">
        <v>1275</v>
      </c>
      <c r="H44">
        <v>3.9990000000000001</v>
      </c>
      <c r="I44" t="s">
        <v>27</v>
      </c>
      <c r="J44" t="s">
        <v>83</v>
      </c>
    </row>
    <row r="45" spans="1:10">
      <c r="A45">
        <v>16</v>
      </c>
      <c r="B45">
        <v>1</v>
      </c>
      <c r="C45" t="s">
        <v>1298</v>
      </c>
      <c r="D45" t="s">
        <v>25</v>
      </c>
      <c r="E45" t="s">
        <v>1270</v>
      </c>
      <c r="F45" t="e">
        <f>VLOOKUP(E45,species_list!A$2:B$1194,2,FALSE)</f>
        <v>#N/A</v>
      </c>
      <c r="G45">
        <v>3745</v>
      </c>
      <c r="H45">
        <v>7.8209999999999997</v>
      </c>
      <c r="I45" t="s">
        <v>1250</v>
      </c>
      <c r="J45" s="15" t="s">
        <v>1301</v>
      </c>
    </row>
    <row r="46" spans="1:10">
      <c r="A46">
        <v>16</v>
      </c>
      <c r="B46">
        <v>1</v>
      </c>
      <c r="C46" t="s">
        <v>1298</v>
      </c>
      <c r="D46" t="s">
        <v>25</v>
      </c>
      <c r="E46" t="s">
        <v>38</v>
      </c>
      <c r="F46">
        <f>VLOOKUP(E46,species_list!A$2:B$1194,2,FALSE)</f>
        <v>784</v>
      </c>
      <c r="G46">
        <v>1</v>
      </c>
      <c r="H46">
        <v>4.0000000000000001E-3</v>
      </c>
      <c r="I46" t="s">
        <v>1250</v>
      </c>
      <c r="J46" s="15" t="s">
        <v>1301</v>
      </c>
    </row>
    <row r="47" spans="1:10">
      <c r="A47">
        <v>16</v>
      </c>
      <c r="B47">
        <v>1</v>
      </c>
      <c r="C47" t="s">
        <v>1298</v>
      </c>
      <c r="D47" t="s">
        <v>25</v>
      </c>
      <c r="E47" t="s">
        <v>41</v>
      </c>
      <c r="F47">
        <f>VLOOKUP(E47,species_list!A$2:B$1194,2,FALSE)</f>
        <v>828</v>
      </c>
      <c r="G47">
        <v>25</v>
      </c>
      <c r="H47">
        <v>1.2E-2</v>
      </c>
      <c r="I47" t="s">
        <v>1250</v>
      </c>
      <c r="J47" s="15" t="s">
        <v>1301</v>
      </c>
    </row>
    <row r="48" spans="1:10">
      <c r="A48">
        <v>16</v>
      </c>
      <c r="B48">
        <v>1</v>
      </c>
      <c r="C48" t="s">
        <v>1298</v>
      </c>
      <c r="D48" t="s">
        <v>25</v>
      </c>
      <c r="E48" t="s">
        <v>40</v>
      </c>
      <c r="F48">
        <f>VLOOKUP(E48,species_list!A$2:B$1194,2,FALSE)</f>
        <v>829</v>
      </c>
      <c r="G48">
        <v>5</v>
      </c>
      <c r="H48">
        <v>6.0000000000000001E-3</v>
      </c>
      <c r="I48" t="s">
        <v>1250</v>
      </c>
      <c r="J48" s="15" t="s">
        <v>1301</v>
      </c>
    </row>
    <row r="49" spans="1:10">
      <c r="A49">
        <v>16</v>
      </c>
      <c r="B49">
        <v>1</v>
      </c>
      <c r="C49" t="s">
        <v>1298</v>
      </c>
      <c r="D49" t="s">
        <v>25</v>
      </c>
      <c r="E49" t="s">
        <v>71</v>
      </c>
      <c r="F49">
        <f>VLOOKUP(E49,species_list!A$2:B$1194,2,FALSE)</f>
        <v>833</v>
      </c>
      <c r="G49">
        <v>3</v>
      </c>
      <c r="H49">
        <v>1E-3</v>
      </c>
      <c r="I49" t="s">
        <v>1250</v>
      </c>
      <c r="J49" s="15" t="s">
        <v>1301</v>
      </c>
    </row>
    <row r="50" spans="1:10">
      <c r="A50">
        <v>16</v>
      </c>
      <c r="B50">
        <v>1</v>
      </c>
      <c r="C50" t="s">
        <v>1298</v>
      </c>
      <c r="D50" t="s">
        <v>25</v>
      </c>
      <c r="E50" t="s">
        <v>54</v>
      </c>
      <c r="F50">
        <f>VLOOKUP(E50,species_list!A$2:B$1194,2,FALSE)</f>
        <v>740</v>
      </c>
      <c r="G50">
        <v>5</v>
      </c>
      <c r="H50">
        <v>4.0000000000000001E-3</v>
      </c>
      <c r="I50" t="s">
        <v>1250</v>
      </c>
      <c r="J50" s="15" t="s">
        <v>1301</v>
      </c>
    </row>
    <row r="51" spans="1:10">
      <c r="A51">
        <v>16</v>
      </c>
      <c r="B51">
        <v>1</v>
      </c>
      <c r="C51" t="s">
        <v>1298</v>
      </c>
      <c r="D51" t="s">
        <v>25</v>
      </c>
      <c r="E51" t="s">
        <v>35</v>
      </c>
      <c r="F51">
        <f>VLOOKUP(E51,species_list!A$2:B$1194,2,FALSE)</f>
        <v>709</v>
      </c>
      <c r="G51">
        <v>2</v>
      </c>
      <c r="H51">
        <v>1E-3</v>
      </c>
      <c r="I51" t="s">
        <v>1250</v>
      </c>
      <c r="J51" s="15" t="s">
        <v>1301</v>
      </c>
    </row>
    <row r="52" spans="1:10">
      <c r="A52">
        <v>16</v>
      </c>
      <c r="B52">
        <v>1</v>
      </c>
      <c r="C52" t="s">
        <v>1298</v>
      </c>
      <c r="D52" t="s">
        <v>25</v>
      </c>
      <c r="E52" s="15" t="s">
        <v>1036</v>
      </c>
      <c r="F52">
        <f>VLOOKUP(E52,species_list!A$2:B$1194,2,FALSE)</f>
        <v>797</v>
      </c>
      <c r="G52">
        <v>1</v>
      </c>
      <c r="H52">
        <v>1E-3</v>
      </c>
      <c r="I52" t="s">
        <v>1250</v>
      </c>
      <c r="J52" s="15" t="s">
        <v>1301</v>
      </c>
    </row>
    <row r="53" spans="1:10">
      <c r="A53">
        <v>16</v>
      </c>
      <c r="B53">
        <v>1</v>
      </c>
      <c r="C53" s="20" t="s">
        <v>1298</v>
      </c>
      <c r="D53" t="s">
        <v>25</v>
      </c>
      <c r="E53" t="s">
        <v>26</v>
      </c>
      <c r="F53">
        <f>VLOOKUP(E53,[1]species_list!A$2:B$1194,2,FALSE)</f>
        <v>435</v>
      </c>
      <c r="G53">
        <v>59</v>
      </c>
      <c r="H53">
        <v>13.603</v>
      </c>
      <c r="I53" s="18" t="s">
        <v>1250</v>
      </c>
      <c r="J53" t="s">
        <v>1300</v>
      </c>
    </row>
    <row r="54" spans="1:10" hidden="1">
      <c r="A54">
        <v>17</v>
      </c>
      <c r="B54">
        <v>3</v>
      </c>
      <c r="C54" t="s">
        <v>69</v>
      </c>
      <c r="D54" t="s">
        <v>25</v>
      </c>
      <c r="E54" t="s">
        <v>26</v>
      </c>
      <c r="F54">
        <f>VLOOKUP(E54,species_list!A$2:B$1194,2,FALSE)</f>
        <v>435</v>
      </c>
      <c r="G54">
        <v>5</v>
      </c>
      <c r="H54">
        <v>0.61399999999999999</v>
      </c>
      <c r="I54" t="s">
        <v>27</v>
      </c>
      <c r="J54" t="s">
        <v>70</v>
      </c>
    </row>
    <row r="55" spans="1:10" hidden="1">
      <c r="A55">
        <v>17</v>
      </c>
      <c r="B55">
        <v>3</v>
      </c>
      <c r="C55" t="s">
        <v>69</v>
      </c>
      <c r="D55" t="s">
        <v>25</v>
      </c>
      <c r="E55" t="s">
        <v>38</v>
      </c>
      <c r="F55">
        <f>VLOOKUP(E55,species_list!A$2:B$1194,2,FALSE)</f>
        <v>784</v>
      </c>
      <c r="G55">
        <v>1</v>
      </c>
      <c r="H55">
        <v>2E-3</v>
      </c>
      <c r="I55" t="s">
        <v>27</v>
      </c>
      <c r="J55" t="s">
        <v>70</v>
      </c>
    </row>
    <row r="56" spans="1:10" hidden="1">
      <c r="A56">
        <v>17</v>
      </c>
      <c r="B56">
        <v>3</v>
      </c>
      <c r="C56" t="s">
        <v>69</v>
      </c>
      <c r="D56" t="s">
        <v>25</v>
      </c>
      <c r="E56" t="s">
        <v>35</v>
      </c>
      <c r="F56">
        <f>VLOOKUP(E56,species_list!A$2:B$1194,2,FALSE)</f>
        <v>709</v>
      </c>
      <c r="G56">
        <v>1</v>
      </c>
      <c r="H56">
        <v>1E-3</v>
      </c>
      <c r="I56" t="s">
        <v>27</v>
      </c>
      <c r="J56" t="s">
        <v>70</v>
      </c>
    </row>
    <row r="57" spans="1:10" hidden="1">
      <c r="A57">
        <v>17</v>
      </c>
      <c r="B57">
        <v>3</v>
      </c>
      <c r="C57" t="s">
        <v>69</v>
      </c>
      <c r="D57" t="s">
        <v>25</v>
      </c>
      <c r="E57" t="s">
        <v>71</v>
      </c>
      <c r="F57">
        <f>VLOOKUP(E57,species_list!A$2:B$1194,2,FALSE)</f>
        <v>833</v>
      </c>
      <c r="G57">
        <v>5</v>
      </c>
      <c r="H57">
        <v>3.0000000000000001E-3</v>
      </c>
      <c r="I57" t="s">
        <v>27</v>
      </c>
      <c r="J57" t="s">
        <v>70</v>
      </c>
    </row>
    <row r="58" spans="1:10" hidden="1">
      <c r="A58">
        <v>17</v>
      </c>
      <c r="B58">
        <v>3</v>
      </c>
      <c r="C58" t="s">
        <v>69</v>
      </c>
      <c r="D58" t="s">
        <v>25</v>
      </c>
      <c r="E58" t="s">
        <v>41</v>
      </c>
      <c r="F58">
        <f>VLOOKUP(E58,species_list!A$2:B$1194,2,FALSE)</f>
        <v>828</v>
      </c>
      <c r="G58">
        <v>3</v>
      </c>
      <c r="H58">
        <v>2E-3</v>
      </c>
      <c r="I58" t="s">
        <v>27</v>
      </c>
      <c r="J58" t="s">
        <v>70</v>
      </c>
    </row>
    <row r="59" spans="1:10" hidden="1">
      <c r="A59">
        <v>17</v>
      </c>
      <c r="B59">
        <v>3</v>
      </c>
      <c r="C59" t="s">
        <v>69</v>
      </c>
      <c r="D59" t="s">
        <v>25</v>
      </c>
      <c r="E59" t="s">
        <v>54</v>
      </c>
      <c r="F59">
        <f>VLOOKUP(E59,species_list!A$2:B$1194,2,FALSE)</f>
        <v>740</v>
      </c>
      <c r="G59">
        <v>2</v>
      </c>
      <c r="H59">
        <v>2E-3</v>
      </c>
      <c r="I59" t="s">
        <v>27</v>
      </c>
      <c r="J59" t="s">
        <v>70</v>
      </c>
    </row>
    <row r="60" spans="1:10" hidden="1">
      <c r="A60">
        <v>17</v>
      </c>
      <c r="B60">
        <v>3</v>
      </c>
      <c r="C60" t="s">
        <v>69</v>
      </c>
      <c r="D60" t="s">
        <v>25</v>
      </c>
      <c r="E60" t="s">
        <v>72</v>
      </c>
      <c r="F60">
        <f>VLOOKUP(E60,species_list!A$2:B$1194,2,FALSE)</f>
        <v>376</v>
      </c>
      <c r="G60">
        <v>28</v>
      </c>
      <c r="H60">
        <v>8.5999999999999993E-2</v>
      </c>
      <c r="I60" t="s">
        <v>27</v>
      </c>
      <c r="J60" t="s">
        <v>73</v>
      </c>
    </row>
    <row r="61" spans="1:10" hidden="1">
      <c r="A61">
        <v>17</v>
      </c>
      <c r="B61">
        <v>3</v>
      </c>
      <c r="C61" t="s">
        <v>69</v>
      </c>
      <c r="D61" t="s">
        <v>25</v>
      </c>
      <c r="E61" t="s">
        <v>44</v>
      </c>
      <c r="F61">
        <f>VLOOKUP(E61,species_list!A$2:B$1194,2,FALSE)</f>
        <v>375</v>
      </c>
      <c r="G61">
        <v>693</v>
      </c>
      <c r="H61">
        <v>1.966</v>
      </c>
      <c r="I61" t="s">
        <v>27</v>
      </c>
      <c r="J61" t="s">
        <v>73</v>
      </c>
    </row>
    <row r="62" spans="1:10" hidden="1">
      <c r="A62">
        <v>17</v>
      </c>
      <c r="B62">
        <v>3</v>
      </c>
      <c r="C62" t="s">
        <v>69</v>
      </c>
      <c r="D62" t="s">
        <v>25</v>
      </c>
      <c r="E62" t="s">
        <v>39</v>
      </c>
      <c r="F62">
        <f>VLOOKUP(E62,species_list!A$2:B$1194,2,FALSE)</f>
        <v>819</v>
      </c>
      <c r="G62" t="s">
        <v>25</v>
      </c>
      <c r="H62">
        <v>1E-3</v>
      </c>
      <c r="I62" t="s">
        <v>27</v>
      </c>
      <c r="J62" t="s">
        <v>70</v>
      </c>
    </row>
    <row r="63" spans="1:10" hidden="1">
      <c r="A63">
        <v>17</v>
      </c>
      <c r="B63">
        <v>2</v>
      </c>
      <c r="C63" t="s">
        <v>86</v>
      </c>
      <c r="D63" t="s">
        <v>25</v>
      </c>
      <c r="E63" t="s">
        <v>26</v>
      </c>
      <c r="F63">
        <f>VLOOKUP(E63,species_list!A$2:B$1194,2,FALSE)</f>
        <v>435</v>
      </c>
      <c r="G63">
        <v>9</v>
      </c>
      <c r="H63">
        <v>2.847</v>
      </c>
      <c r="I63" t="s">
        <v>27</v>
      </c>
      <c r="J63" t="s">
        <v>1277</v>
      </c>
    </row>
    <row r="64" spans="1:10" hidden="1">
      <c r="A64">
        <v>17</v>
      </c>
      <c r="B64">
        <v>2</v>
      </c>
      <c r="C64" t="s">
        <v>86</v>
      </c>
      <c r="D64" t="s">
        <v>25</v>
      </c>
      <c r="E64" t="s">
        <v>54</v>
      </c>
      <c r="F64">
        <f>VLOOKUP(E64,species_list!A$2:B$1194,2,FALSE)</f>
        <v>740</v>
      </c>
      <c r="G64">
        <v>1</v>
      </c>
      <c r="H64">
        <v>2E-3</v>
      </c>
      <c r="I64" t="s">
        <v>27</v>
      </c>
      <c r="J64" t="s">
        <v>1277</v>
      </c>
    </row>
    <row r="65" spans="1:10" hidden="1">
      <c r="A65">
        <v>17</v>
      </c>
      <c r="B65">
        <v>2</v>
      </c>
      <c r="C65" t="s">
        <v>86</v>
      </c>
      <c r="D65" t="s">
        <v>25</v>
      </c>
      <c r="E65" t="s">
        <v>71</v>
      </c>
      <c r="F65">
        <f>VLOOKUP(E65,species_list!A$2:B$1194,2,FALSE)</f>
        <v>833</v>
      </c>
      <c r="G65">
        <v>4</v>
      </c>
      <c r="H65">
        <v>4.0000000000000001E-3</v>
      </c>
      <c r="I65" t="s">
        <v>27</v>
      </c>
      <c r="J65" t="s">
        <v>1277</v>
      </c>
    </row>
    <row r="66" spans="1:10" hidden="1">
      <c r="A66">
        <v>17</v>
      </c>
      <c r="B66">
        <v>2</v>
      </c>
      <c r="C66" t="s">
        <v>86</v>
      </c>
      <c r="D66" t="s">
        <v>25</v>
      </c>
      <c r="E66" t="s">
        <v>41</v>
      </c>
      <c r="F66">
        <f>VLOOKUP(E66,species_list!A$2:B$1194,2,FALSE)</f>
        <v>828</v>
      </c>
      <c r="G66">
        <v>10</v>
      </c>
      <c r="H66">
        <v>1.4E-2</v>
      </c>
      <c r="I66" t="s">
        <v>27</v>
      </c>
      <c r="J66" t="s">
        <v>1277</v>
      </c>
    </row>
    <row r="67" spans="1:10" hidden="1">
      <c r="A67">
        <v>17</v>
      </c>
      <c r="B67">
        <v>2</v>
      </c>
      <c r="C67" t="s">
        <v>86</v>
      </c>
      <c r="D67" t="s">
        <v>25</v>
      </c>
      <c r="E67" t="s">
        <v>44</v>
      </c>
      <c r="F67">
        <f>VLOOKUP(E67,species_list!A$2:B$1194,2,FALSE)</f>
        <v>375</v>
      </c>
      <c r="G67">
        <v>797</v>
      </c>
      <c r="H67">
        <v>2.34</v>
      </c>
      <c r="I67" t="s">
        <v>27</v>
      </c>
      <c r="J67" t="s">
        <v>1279</v>
      </c>
    </row>
    <row r="68" spans="1:10" hidden="1">
      <c r="A68">
        <v>17</v>
      </c>
      <c r="B68">
        <v>2</v>
      </c>
      <c r="C68" t="s">
        <v>86</v>
      </c>
      <c r="D68" t="s">
        <v>25</v>
      </c>
      <c r="E68" t="s">
        <v>72</v>
      </c>
      <c r="F68">
        <f>VLOOKUP(E68,species_list!A$2:B$1194,2,FALSE)</f>
        <v>376</v>
      </c>
      <c r="G68">
        <v>60</v>
      </c>
      <c r="H68">
        <v>0.14599999999999999</v>
      </c>
      <c r="I68" t="s">
        <v>27</v>
      </c>
      <c r="J68" t="s">
        <v>1278</v>
      </c>
    </row>
    <row r="69" spans="1:10" hidden="1">
      <c r="A69">
        <v>17</v>
      </c>
      <c r="B69">
        <v>2</v>
      </c>
      <c r="C69" t="s">
        <v>86</v>
      </c>
      <c r="D69" t="s">
        <v>25</v>
      </c>
      <c r="E69" t="s">
        <v>40</v>
      </c>
      <c r="F69">
        <f>VLOOKUP(E69,species_list!A$2:B$1194,2,FALSE)</f>
        <v>829</v>
      </c>
      <c r="G69">
        <v>6</v>
      </c>
      <c r="H69">
        <v>4.0000000000000001E-3</v>
      </c>
      <c r="I69" t="s">
        <v>27</v>
      </c>
      <c r="J69" t="s">
        <v>1277</v>
      </c>
    </row>
    <row r="70" spans="1:10" hidden="1">
      <c r="A70">
        <v>18</v>
      </c>
      <c r="B70">
        <v>3</v>
      </c>
      <c r="C70" t="s">
        <v>77</v>
      </c>
      <c r="D70" t="s">
        <v>25</v>
      </c>
      <c r="E70" t="s">
        <v>26</v>
      </c>
      <c r="F70">
        <f>VLOOKUP(E70,species_list!A$2:B$1194,2,FALSE)</f>
        <v>435</v>
      </c>
      <c r="G70">
        <v>10</v>
      </c>
      <c r="H70">
        <v>1.53</v>
      </c>
      <c r="I70" t="s">
        <v>27</v>
      </c>
      <c r="J70" t="s">
        <v>1284</v>
      </c>
    </row>
    <row r="71" spans="1:10" hidden="1">
      <c r="A71">
        <v>18</v>
      </c>
      <c r="B71">
        <v>3</v>
      </c>
      <c r="C71" t="s">
        <v>77</v>
      </c>
      <c r="D71" t="s">
        <v>25</v>
      </c>
      <c r="E71" t="s">
        <v>37</v>
      </c>
      <c r="F71">
        <f>VLOOKUP(E71,species_list!A$2:B$1194,2,FALSE)</f>
        <v>615</v>
      </c>
      <c r="G71">
        <v>1</v>
      </c>
      <c r="H71">
        <v>1.6E-2</v>
      </c>
      <c r="I71" t="s">
        <v>27</v>
      </c>
      <c r="J71" t="s">
        <v>1284</v>
      </c>
    </row>
    <row r="72" spans="1:10" hidden="1">
      <c r="A72">
        <v>18</v>
      </c>
      <c r="B72">
        <v>3</v>
      </c>
      <c r="C72" t="s">
        <v>77</v>
      </c>
      <c r="D72" t="s">
        <v>25</v>
      </c>
      <c r="E72" t="s">
        <v>35</v>
      </c>
      <c r="F72">
        <f>VLOOKUP(E72,species_list!A$2:B$1194,2,FALSE)</f>
        <v>709</v>
      </c>
      <c r="G72">
        <v>4</v>
      </c>
      <c r="H72">
        <v>1.7999999999999999E-2</v>
      </c>
      <c r="I72" t="s">
        <v>27</v>
      </c>
      <c r="J72" t="s">
        <v>1284</v>
      </c>
    </row>
    <row r="73" spans="1:10" hidden="1">
      <c r="A73">
        <v>18</v>
      </c>
      <c r="B73">
        <v>3</v>
      </c>
      <c r="C73" t="s">
        <v>77</v>
      </c>
      <c r="D73" t="s">
        <v>25</v>
      </c>
      <c r="E73" t="s">
        <v>38</v>
      </c>
      <c r="F73">
        <f>VLOOKUP(E73,species_list!A$2:B$1194,2,FALSE)</f>
        <v>784</v>
      </c>
      <c r="G73">
        <v>1</v>
      </c>
      <c r="H73">
        <v>2E-3</v>
      </c>
      <c r="I73" t="s">
        <v>27</v>
      </c>
      <c r="J73" t="s">
        <v>1284</v>
      </c>
    </row>
    <row r="74" spans="1:10" hidden="1">
      <c r="A74">
        <v>18</v>
      </c>
      <c r="B74">
        <v>3</v>
      </c>
      <c r="C74" t="s">
        <v>77</v>
      </c>
      <c r="D74" t="s">
        <v>25</v>
      </c>
      <c r="E74" t="s">
        <v>71</v>
      </c>
      <c r="F74">
        <f>VLOOKUP(E74,species_list!A$2:B$1194,2,FALSE)</f>
        <v>833</v>
      </c>
      <c r="G74">
        <v>5</v>
      </c>
      <c r="H74">
        <v>3.0000000000000001E-3</v>
      </c>
      <c r="I74" t="s">
        <v>27</v>
      </c>
      <c r="J74" t="s">
        <v>1284</v>
      </c>
    </row>
    <row r="75" spans="1:10" hidden="1">
      <c r="A75">
        <v>18</v>
      </c>
      <c r="B75">
        <v>3</v>
      </c>
      <c r="C75" t="s">
        <v>77</v>
      </c>
      <c r="D75" t="s">
        <v>25</v>
      </c>
      <c r="E75" t="s">
        <v>72</v>
      </c>
      <c r="F75">
        <f>VLOOKUP(E75,species_list!A$2:B$1194,2,FALSE)</f>
        <v>376</v>
      </c>
      <c r="G75">
        <v>29</v>
      </c>
      <c r="H75">
        <v>5.3999999999999999E-2</v>
      </c>
      <c r="I75" t="s">
        <v>27</v>
      </c>
      <c r="J75" t="s">
        <v>1285</v>
      </c>
    </row>
    <row r="76" spans="1:10" hidden="1">
      <c r="A76">
        <v>18</v>
      </c>
      <c r="B76">
        <v>3</v>
      </c>
      <c r="C76" t="s">
        <v>77</v>
      </c>
      <c r="D76" t="s">
        <v>25</v>
      </c>
      <c r="E76" t="s">
        <v>44</v>
      </c>
      <c r="F76">
        <f>VLOOKUP(E76,species_list!A$2:B$1194,2,FALSE)</f>
        <v>375</v>
      </c>
      <c r="G76">
        <v>1558</v>
      </c>
      <c r="H76">
        <v>5.1230000000000002</v>
      </c>
      <c r="I76" t="s">
        <v>27</v>
      </c>
      <c r="J76" t="s">
        <v>1285</v>
      </c>
    </row>
    <row r="77" spans="1:10" hidden="1">
      <c r="A77">
        <v>18</v>
      </c>
      <c r="B77">
        <v>3</v>
      </c>
      <c r="C77" t="s">
        <v>77</v>
      </c>
      <c r="D77" t="s">
        <v>25</v>
      </c>
      <c r="E77" t="s">
        <v>1270</v>
      </c>
      <c r="F77" t="e">
        <f>VLOOKUP(E77,species_list!A$2:B$1194,2,FALSE)</f>
        <v>#N/A</v>
      </c>
      <c r="G77">
        <v>10</v>
      </c>
      <c r="H77">
        <v>5.0000000000000001E-3</v>
      </c>
      <c r="I77" t="s">
        <v>1250</v>
      </c>
      <c r="J77" t="s">
        <v>1284</v>
      </c>
    </row>
    <row r="78" spans="1:10" hidden="1">
      <c r="A78">
        <v>18</v>
      </c>
      <c r="B78">
        <v>3</v>
      </c>
      <c r="C78" t="s">
        <v>77</v>
      </c>
      <c r="D78" t="s">
        <v>25</v>
      </c>
      <c r="E78" t="s">
        <v>41</v>
      </c>
      <c r="F78">
        <f>VLOOKUP(E78,species_list!A$2:B$1194,2,FALSE)</f>
        <v>828</v>
      </c>
      <c r="G78">
        <v>6</v>
      </c>
      <c r="H78">
        <v>5.0000000000000001E-3</v>
      </c>
      <c r="I78" t="s">
        <v>1250</v>
      </c>
      <c r="J78" t="s">
        <v>1284</v>
      </c>
    </row>
    <row r="79" spans="1:10" hidden="1">
      <c r="A79">
        <v>18</v>
      </c>
      <c r="B79">
        <v>2</v>
      </c>
      <c r="C79" t="s">
        <v>79</v>
      </c>
      <c r="D79" t="s">
        <v>25</v>
      </c>
      <c r="E79" t="s">
        <v>26</v>
      </c>
      <c r="F79">
        <f>VLOOKUP(E79,species_list!A$2:B$1194,2,FALSE)</f>
        <v>435</v>
      </c>
      <c r="G79">
        <v>12</v>
      </c>
      <c r="H79">
        <v>4.1449999999999996</v>
      </c>
      <c r="I79" t="s">
        <v>27</v>
      </c>
      <c r="J79" t="s">
        <v>1286</v>
      </c>
    </row>
    <row r="80" spans="1:10" hidden="1">
      <c r="A80">
        <v>18</v>
      </c>
      <c r="B80">
        <v>2</v>
      </c>
      <c r="C80" t="s">
        <v>79</v>
      </c>
      <c r="D80" t="s">
        <v>25</v>
      </c>
      <c r="E80" t="s">
        <v>38</v>
      </c>
      <c r="F80">
        <f>VLOOKUP(E80,species_list!A$2:B$1194,2,FALSE)</f>
        <v>784</v>
      </c>
      <c r="G80">
        <v>5</v>
      </c>
      <c r="H80">
        <v>8.0000000000000002E-3</v>
      </c>
      <c r="I80" t="s">
        <v>27</v>
      </c>
      <c r="J80" t="s">
        <v>1286</v>
      </c>
    </row>
    <row r="81" spans="1:11" hidden="1">
      <c r="A81">
        <v>18</v>
      </c>
      <c r="B81">
        <v>2</v>
      </c>
      <c r="C81" t="s">
        <v>79</v>
      </c>
      <c r="D81" t="s">
        <v>25</v>
      </c>
      <c r="E81" t="s">
        <v>71</v>
      </c>
      <c r="F81">
        <f>VLOOKUP(E81,species_list!A$2:B$1194,2,FALSE)</f>
        <v>833</v>
      </c>
      <c r="G81">
        <v>30</v>
      </c>
      <c r="H81">
        <v>0.01</v>
      </c>
      <c r="I81" t="s">
        <v>27</v>
      </c>
      <c r="J81" t="s">
        <v>1286</v>
      </c>
    </row>
    <row r="82" spans="1:11" hidden="1">
      <c r="A82">
        <v>18</v>
      </c>
      <c r="B82">
        <v>2</v>
      </c>
      <c r="C82" t="s">
        <v>79</v>
      </c>
      <c r="D82" t="s">
        <v>25</v>
      </c>
      <c r="E82" t="s">
        <v>41</v>
      </c>
      <c r="F82">
        <f>VLOOKUP(E82,species_list!A$2:B$1194,2,FALSE)</f>
        <v>828</v>
      </c>
      <c r="G82">
        <v>6</v>
      </c>
      <c r="H82">
        <v>6.0000000000000001E-3</v>
      </c>
      <c r="I82" t="s">
        <v>27</v>
      </c>
      <c r="J82" t="s">
        <v>1286</v>
      </c>
    </row>
    <row r="83" spans="1:11" hidden="1">
      <c r="A83">
        <v>18</v>
      </c>
      <c r="B83">
        <v>2</v>
      </c>
      <c r="C83" t="s">
        <v>79</v>
      </c>
      <c r="D83" t="s">
        <v>25</v>
      </c>
      <c r="E83" t="s">
        <v>72</v>
      </c>
      <c r="F83">
        <f>VLOOKUP(E83,species_list!A$2:B$1194,2,FALSE)</f>
        <v>376</v>
      </c>
      <c r="G83">
        <v>41</v>
      </c>
      <c r="H83">
        <v>0.14299999999999999</v>
      </c>
      <c r="I83" t="s">
        <v>27</v>
      </c>
      <c r="J83" t="s">
        <v>1287</v>
      </c>
    </row>
    <row r="84" spans="1:11" hidden="1">
      <c r="A84">
        <v>18</v>
      </c>
      <c r="B84">
        <v>2</v>
      </c>
      <c r="C84" t="s">
        <v>79</v>
      </c>
      <c r="D84" t="s">
        <v>25</v>
      </c>
      <c r="E84" t="s">
        <v>44</v>
      </c>
      <c r="F84">
        <f>VLOOKUP(E84,species_list!A$2:B$1194,2,FALSE)</f>
        <v>375</v>
      </c>
      <c r="G84">
        <v>767</v>
      </c>
      <c r="H84">
        <v>3.8239999999999998</v>
      </c>
      <c r="I84" t="s">
        <v>27</v>
      </c>
      <c r="J84" t="s">
        <v>1287</v>
      </c>
    </row>
    <row r="85" spans="1:11" hidden="1">
      <c r="A85">
        <v>18</v>
      </c>
      <c r="B85">
        <v>2</v>
      </c>
      <c r="C85" t="s">
        <v>79</v>
      </c>
      <c r="D85" t="s">
        <v>25</v>
      </c>
      <c r="E85" t="s">
        <v>35</v>
      </c>
      <c r="F85">
        <f>VLOOKUP(E85,species_list!A$2:B$1194,2,FALSE)</f>
        <v>709</v>
      </c>
      <c r="G85">
        <v>1</v>
      </c>
      <c r="H85">
        <v>2E-3</v>
      </c>
      <c r="I85" t="s">
        <v>1250</v>
      </c>
      <c r="J85" t="s">
        <v>1286</v>
      </c>
    </row>
    <row r="86" spans="1:11" hidden="1">
      <c r="A86">
        <v>18</v>
      </c>
      <c r="B86">
        <v>2</v>
      </c>
      <c r="C86" t="s">
        <v>79</v>
      </c>
      <c r="D86" t="s">
        <v>25</v>
      </c>
      <c r="E86" t="s">
        <v>1270</v>
      </c>
      <c r="F86" t="e">
        <f>VLOOKUP(E86,species_list!A$2:B$1194,2,FALSE)</f>
        <v>#N/A</v>
      </c>
      <c r="G86">
        <v>11</v>
      </c>
      <c r="H86">
        <v>5.0000000000000001E-3</v>
      </c>
      <c r="I86" t="s">
        <v>1250</v>
      </c>
      <c r="J86" t="s">
        <v>1286</v>
      </c>
      <c r="K86" t="s">
        <v>1303</v>
      </c>
    </row>
    <row r="87" spans="1:11">
      <c r="A87">
        <v>19</v>
      </c>
      <c r="B87">
        <v>1</v>
      </c>
      <c r="C87" t="s">
        <v>1295</v>
      </c>
      <c r="D87" t="s">
        <v>25</v>
      </c>
      <c r="E87" t="s">
        <v>1027</v>
      </c>
      <c r="F87">
        <f>VLOOKUP(E87,species_list!A$2:B$1194,2,FALSE)</f>
        <v>788</v>
      </c>
      <c r="G87">
        <v>1</v>
      </c>
      <c r="H87">
        <v>2E-3</v>
      </c>
      <c r="I87" t="s">
        <v>1250</v>
      </c>
      <c r="J87" t="s">
        <v>1296</v>
      </c>
      <c r="K87" t="s">
        <v>1303</v>
      </c>
    </row>
    <row r="88" spans="1:11">
      <c r="A88">
        <v>19</v>
      </c>
      <c r="B88">
        <v>1</v>
      </c>
      <c r="C88" t="s">
        <v>1295</v>
      </c>
      <c r="D88" t="s">
        <v>25</v>
      </c>
      <c r="E88" t="s">
        <v>41</v>
      </c>
      <c r="F88">
        <f>VLOOKUP(E88,species_list!A$2:B$1194,2,FALSE)</f>
        <v>828</v>
      </c>
      <c r="G88">
        <v>88</v>
      </c>
      <c r="H88">
        <v>2.7E-2</v>
      </c>
      <c r="I88" t="s">
        <v>1250</v>
      </c>
      <c r="J88" t="s">
        <v>1296</v>
      </c>
      <c r="K88" t="s">
        <v>1303</v>
      </c>
    </row>
    <row r="89" spans="1:11">
      <c r="A89">
        <v>19</v>
      </c>
      <c r="B89">
        <v>1</v>
      </c>
      <c r="C89" t="s">
        <v>1295</v>
      </c>
      <c r="D89" t="s">
        <v>25</v>
      </c>
      <c r="E89" s="17" t="s">
        <v>42</v>
      </c>
      <c r="F89">
        <f>VLOOKUP(E89,species_list!A$2:B$1194,2,FALSE)</f>
        <v>826</v>
      </c>
      <c r="G89">
        <v>28</v>
      </c>
      <c r="H89">
        <v>5.0000000000000001E-3</v>
      </c>
      <c r="I89" t="s">
        <v>1250</v>
      </c>
      <c r="J89" t="s">
        <v>1296</v>
      </c>
      <c r="K89" t="s">
        <v>1303</v>
      </c>
    </row>
    <row r="90" spans="1:11">
      <c r="A90">
        <v>19</v>
      </c>
      <c r="B90">
        <v>1</v>
      </c>
      <c r="C90" t="s">
        <v>1295</v>
      </c>
      <c r="D90" t="s">
        <v>25</v>
      </c>
      <c r="E90" t="s">
        <v>58</v>
      </c>
      <c r="F90">
        <f>VLOOKUP(E90,species_list!A$2:B$1194,2,FALSE)</f>
        <v>440</v>
      </c>
      <c r="G90">
        <v>4</v>
      </c>
      <c r="H90">
        <v>1.38</v>
      </c>
      <c r="I90" t="s">
        <v>1250</v>
      </c>
      <c r="J90" t="s">
        <v>1296</v>
      </c>
      <c r="K90" t="s">
        <v>1303</v>
      </c>
    </row>
    <row r="91" spans="1:11">
      <c r="A91">
        <v>19</v>
      </c>
      <c r="B91">
        <v>1</v>
      </c>
      <c r="C91" t="s">
        <v>1295</v>
      </c>
      <c r="D91" t="s">
        <v>25</v>
      </c>
      <c r="E91" t="s">
        <v>1270</v>
      </c>
      <c r="F91" t="e">
        <f>VLOOKUP(E91,species_list!A$2:B$1194,2,FALSE)</f>
        <v>#N/A</v>
      </c>
      <c r="G91">
        <v>6</v>
      </c>
      <c r="H91" t="s">
        <v>25</v>
      </c>
      <c r="I91" t="s">
        <v>1250</v>
      </c>
      <c r="J91" t="s">
        <v>1296</v>
      </c>
      <c r="K91" t="s">
        <v>1303</v>
      </c>
    </row>
    <row r="92" spans="1:11">
      <c r="A92">
        <v>19</v>
      </c>
      <c r="B92">
        <v>1</v>
      </c>
      <c r="C92" t="s">
        <v>1295</v>
      </c>
      <c r="D92" t="s">
        <v>25</v>
      </c>
      <c r="E92" t="s">
        <v>26</v>
      </c>
      <c r="F92">
        <f>VLOOKUP(E92,species_list!A$2:B$1194,2,FALSE)</f>
        <v>435</v>
      </c>
      <c r="G92">
        <v>88</v>
      </c>
      <c r="H92">
        <v>34.713999999999999</v>
      </c>
      <c r="I92" t="s">
        <v>1250</v>
      </c>
      <c r="J92" t="s">
        <v>1296</v>
      </c>
      <c r="K92" t="s">
        <v>1303</v>
      </c>
    </row>
    <row r="93" spans="1:11">
      <c r="A93">
        <v>19</v>
      </c>
      <c r="B93">
        <v>1</v>
      </c>
      <c r="C93" t="s">
        <v>1295</v>
      </c>
      <c r="D93" t="s">
        <v>25</v>
      </c>
      <c r="E93" t="s">
        <v>54</v>
      </c>
      <c r="F93">
        <f>VLOOKUP(E93,species_list!A$2:B$1194,2,FALSE)</f>
        <v>740</v>
      </c>
      <c r="G93">
        <v>3</v>
      </c>
      <c r="H93">
        <v>3.0000000000000001E-3</v>
      </c>
      <c r="I93" t="s">
        <v>1250</v>
      </c>
      <c r="J93" s="15" t="s">
        <v>1301</v>
      </c>
      <c r="K93" t="s">
        <v>1303</v>
      </c>
    </row>
    <row r="94" spans="1:11">
      <c r="A94">
        <v>19</v>
      </c>
      <c r="B94">
        <v>1</v>
      </c>
      <c r="C94" t="s">
        <v>1295</v>
      </c>
      <c r="D94" t="s">
        <v>25</v>
      </c>
      <c r="E94" t="s">
        <v>71</v>
      </c>
      <c r="F94">
        <f>VLOOKUP(E94,species_list!A$2:B$1194,2,FALSE)</f>
        <v>833</v>
      </c>
      <c r="G94">
        <v>6</v>
      </c>
      <c r="H94">
        <v>3.0000000000000001E-3</v>
      </c>
      <c r="I94" t="s">
        <v>1250</v>
      </c>
      <c r="J94" s="15" t="s">
        <v>1301</v>
      </c>
      <c r="K94" t="s">
        <v>1303</v>
      </c>
    </row>
    <row r="95" spans="1:11">
      <c r="A95">
        <v>19</v>
      </c>
      <c r="B95">
        <v>1</v>
      </c>
      <c r="C95" t="s">
        <v>1295</v>
      </c>
      <c r="D95" t="s">
        <v>25</v>
      </c>
      <c r="E95" t="s">
        <v>38</v>
      </c>
      <c r="F95">
        <f>VLOOKUP(E95,species_list!A$2:B$1194,2,FALSE)</f>
        <v>784</v>
      </c>
      <c r="G95">
        <v>2</v>
      </c>
      <c r="H95">
        <v>5.0000000000000001E-3</v>
      </c>
      <c r="I95" t="s">
        <v>1250</v>
      </c>
      <c r="J95" s="15" t="s">
        <v>1301</v>
      </c>
      <c r="K95" t="s">
        <v>1303</v>
      </c>
    </row>
    <row r="96" spans="1:11">
      <c r="A96">
        <v>19</v>
      </c>
      <c r="B96">
        <v>1</v>
      </c>
      <c r="C96" t="s">
        <v>1295</v>
      </c>
      <c r="D96" t="s">
        <v>25</v>
      </c>
      <c r="E96" t="s">
        <v>35</v>
      </c>
      <c r="F96">
        <f>VLOOKUP(E96,species_list!A$2:B$1194,2,FALSE)</f>
        <v>709</v>
      </c>
      <c r="G96">
        <v>1</v>
      </c>
      <c r="H96">
        <v>1E-3</v>
      </c>
      <c r="I96" t="s">
        <v>1250</v>
      </c>
      <c r="J96" s="15" t="s">
        <v>1301</v>
      </c>
      <c r="K96" t="s">
        <v>1303</v>
      </c>
    </row>
    <row r="97" spans="1:11">
      <c r="A97">
        <v>19</v>
      </c>
      <c r="B97">
        <v>1</v>
      </c>
      <c r="C97" t="s">
        <v>1295</v>
      </c>
      <c r="D97" t="s">
        <v>25</v>
      </c>
      <c r="E97" t="s">
        <v>36</v>
      </c>
      <c r="F97">
        <f>VLOOKUP(E97,species_list!A$2:B$1194,2,FALSE)</f>
        <v>642</v>
      </c>
      <c r="G97">
        <v>1</v>
      </c>
      <c r="H97">
        <v>1E-3</v>
      </c>
      <c r="I97" t="s">
        <v>1250</v>
      </c>
      <c r="J97" s="15" t="s">
        <v>1301</v>
      </c>
      <c r="K97" t="s">
        <v>1303</v>
      </c>
    </row>
    <row r="98" spans="1:11">
      <c r="A98">
        <v>19</v>
      </c>
      <c r="B98">
        <v>1</v>
      </c>
      <c r="C98" t="s">
        <v>1295</v>
      </c>
      <c r="D98" t="s">
        <v>25</v>
      </c>
      <c r="E98" t="s">
        <v>1302</v>
      </c>
      <c r="F98" t="e">
        <f>VLOOKUP(E98,species_list!A$2:B$1194,2,FALSE)</f>
        <v>#N/A</v>
      </c>
      <c r="G98">
        <v>1</v>
      </c>
      <c r="H98">
        <v>1E-3</v>
      </c>
      <c r="I98" t="s">
        <v>1250</v>
      </c>
      <c r="J98" s="15" t="s">
        <v>1301</v>
      </c>
      <c r="K98" t="s">
        <v>1303</v>
      </c>
    </row>
    <row r="99" spans="1:11">
      <c r="A99">
        <v>19</v>
      </c>
      <c r="B99">
        <v>3</v>
      </c>
      <c r="C99" t="s">
        <v>74</v>
      </c>
      <c r="D99" t="s">
        <v>25</v>
      </c>
      <c r="E99" t="s">
        <v>26</v>
      </c>
      <c r="F99">
        <f>VLOOKUP(E99,species_list!A$2:B$1194,2,FALSE)</f>
        <v>435</v>
      </c>
      <c r="G99">
        <v>15</v>
      </c>
      <c r="H99">
        <v>5.2460000000000004</v>
      </c>
      <c r="I99" t="s">
        <v>1250</v>
      </c>
      <c r="J99" s="15" t="s">
        <v>1301</v>
      </c>
    </row>
    <row r="100" spans="1:11">
      <c r="A100">
        <v>19</v>
      </c>
      <c r="B100">
        <v>3</v>
      </c>
      <c r="C100" t="s">
        <v>74</v>
      </c>
      <c r="D100" t="s">
        <v>25</v>
      </c>
      <c r="E100" t="s">
        <v>58</v>
      </c>
      <c r="F100">
        <f>VLOOKUP(E100,species_list!A$2:B$1194,2,FALSE)</f>
        <v>440</v>
      </c>
      <c r="G100">
        <v>2</v>
      </c>
      <c r="H100">
        <v>0.69</v>
      </c>
      <c r="I100" t="s">
        <v>27</v>
      </c>
      <c r="J100" t="s">
        <v>1293</v>
      </c>
    </row>
    <row r="101" spans="1:11">
      <c r="A101">
        <v>19</v>
      </c>
      <c r="B101">
        <v>3</v>
      </c>
      <c r="C101" t="s">
        <v>74</v>
      </c>
      <c r="D101" t="s">
        <v>25</v>
      </c>
      <c r="E101" t="s">
        <v>75</v>
      </c>
      <c r="F101">
        <f>VLOOKUP(E101,species_list!A$2:B$1194,2,FALSE)</f>
        <v>789</v>
      </c>
      <c r="G101">
        <v>1</v>
      </c>
      <c r="H101">
        <v>3.4000000000000002E-2</v>
      </c>
      <c r="I101" t="s">
        <v>27</v>
      </c>
      <c r="J101" t="s">
        <v>1293</v>
      </c>
    </row>
    <row r="102" spans="1:11">
      <c r="A102">
        <v>19</v>
      </c>
      <c r="B102">
        <v>3</v>
      </c>
      <c r="C102" t="s">
        <v>74</v>
      </c>
      <c r="D102" t="s">
        <v>25</v>
      </c>
      <c r="E102" t="s">
        <v>71</v>
      </c>
      <c r="F102">
        <f>VLOOKUP(E102,species_list!A$2:B$1194,2,FALSE)</f>
        <v>833</v>
      </c>
      <c r="G102">
        <v>6</v>
      </c>
      <c r="H102">
        <v>3.0000000000000001E-3</v>
      </c>
      <c r="I102" t="s">
        <v>27</v>
      </c>
      <c r="J102" t="s">
        <v>1293</v>
      </c>
    </row>
    <row r="103" spans="1:11">
      <c r="A103">
        <v>19</v>
      </c>
      <c r="B103">
        <v>3</v>
      </c>
      <c r="C103" t="s">
        <v>74</v>
      </c>
      <c r="D103" t="s">
        <v>25</v>
      </c>
      <c r="E103" t="s">
        <v>41</v>
      </c>
      <c r="F103">
        <f>VLOOKUP(E103,species_list!A$2:B$1194,2,FALSE)</f>
        <v>828</v>
      </c>
      <c r="G103">
        <v>21</v>
      </c>
      <c r="H103">
        <v>0.01</v>
      </c>
      <c r="I103" t="s">
        <v>27</v>
      </c>
      <c r="J103" t="s">
        <v>1293</v>
      </c>
    </row>
    <row r="104" spans="1:11">
      <c r="A104">
        <v>19</v>
      </c>
      <c r="B104">
        <v>3</v>
      </c>
      <c r="C104" t="s">
        <v>74</v>
      </c>
      <c r="D104" t="s">
        <v>25</v>
      </c>
      <c r="E104" t="s">
        <v>72</v>
      </c>
      <c r="F104">
        <f>VLOOKUP(E104,species_list!A$2:B$1194,2,FALSE)</f>
        <v>376</v>
      </c>
      <c r="G104">
        <v>69</v>
      </c>
      <c r="H104">
        <v>0.124</v>
      </c>
      <c r="I104" t="s">
        <v>27</v>
      </c>
      <c r="J104" t="s">
        <v>1294</v>
      </c>
    </row>
    <row r="105" spans="1:11">
      <c r="A105">
        <v>19</v>
      </c>
      <c r="B105">
        <v>3</v>
      </c>
      <c r="C105" t="s">
        <v>74</v>
      </c>
      <c r="D105" t="s">
        <v>25</v>
      </c>
      <c r="E105" t="s">
        <v>44</v>
      </c>
      <c r="F105">
        <f>VLOOKUP(E105,species_list!A$2:B$1194,2,FALSE)</f>
        <v>375</v>
      </c>
      <c r="G105">
        <v>905</v>
      </c>
      <c r="H105">
        <v>2.6760000000000002</v>
      </c>
      <c r="I105" t="s">
        <v>27</v>
      </c>
      <c r="J105" t="s">
        <v>1294</v>
      </c>
    </row>
    <row r="106" spans="1:11">
      <c r="A106">
        <v>19</v>
      </c>
      <c r="B106">
        <v>3</v>
      </c>
      <c r="C106" t="s">
        <v>74</v>
      </c>
      <c r="D106" t="s">
        <v>25</v>
      </c>
      <c r="E106" t="s">
        <v>1027</v>
      </c>
      <c r="F106">
        <f>VLOOKUP(E106,species_list!A$2:B$1194,2,FALSE)</f>
        <v>788</v>
      </c>
      <c r="G106" t="s">
        <v>25</v>
      </c>
      <c r="H106" t="s">
        <v>25</v>
      </c>
      <c r="I106" t="s">
        <v>1250</v>
      </c>
      <c r="J106" t="s">
        <v>1293</v>
      </c>
    </row>
    <row r="107" spans="1:11">
      <c r="A107">
        <v>19</v>
      </c>
      <c r="B107">
        <v>3</v>
      </c>
      <c r="C107" t="s">
        <v>74</v>
      </c>
      <c r="D107" t="s">
        <v>25</v>
      </c>
      <c r="E107" t="s">
        <v>1036</v>
      </c>
      <c r="F107">
        <f>VLOOKUP(E107,species_list!A$2:B$1194,2,FALSE)</f>
        <v>797</v>
      </c>
      <c r="G107">
        <v>2</v>
      </c>
      <c r="H107">
        <v>1E-3</v>
      </c>
      <c r="I107" t="s">
        <v>1250</v>
      </c>
      <c r="J107" t="s">
        <v>1293</v>
      </c>
    </row>
    <row r="108" spans="1:11">
      <c r="A108">
        <v>19</v>
      </c>
      <c r="B108">
        <v>3</v>
      </c>
      <c r="C108" t="s">
        <v>74</v>
      </c>
      <c r="D108" t="s">
        <v>25</v>
      </c>
      <c r="E108" t="s">
        <v>35</v>
      </c>
      <c r="F108">
        <f>VLOOKUP(E108,species_list!A$2:B$1194,2,FALSE)</f>
        <v>709</v>
      </c>
      <c r="G108">
        <v>2</v>
      </c>
      <c r="H108">
        <v>3.0000000000000001E-3</v>
      </c>
      <c r="I108" t="s">
        <v>1250</v>
      </c>
      <c r="J108" t="s">
        <v>1293</v>
      </c>
    </row>
    <row r="109" spans="1:11">
      <c r="A109">
        <v>19</v>
      </c>
      <c r="B109">
        <v>3</v>
      </c>
      <c r="C109" t="s">
        <v>74</v>
      </c>
      <c r="D109" t="s">
        <v>25</v>
      </c>
      <c r="E109" t="s">
        <v>54</v>
      </c>
      <c r="F109">
        <f>VLOOKUP(E109,species_list!A$2:B$1194,2,FALSE)</f>
        <v>740</v>
      </c>
      <c r="G109">
        <v>1</v>
      </c>
      <c r="H109">
        <v>1E-3</v>
      </c>
      <c r="I109" t="s">
        <v>1250</v>
      </c>
      <c r="J109" t="s">
        <v>1293</v>
      </c>
    </row>
    <row r="110" spans="1:11">
      <c r="A110">
        <v>19</v>
      </c>
      <c r="B110">
        <v>3</v>
      </c>
      <c r="C110" t="s">
        <v>74</v>
      </c>
      <c r="D110" t="s">
        <v>25</v>
      </c>
      <c r="E110" t="s">
        <v>1270</v>
      </c>
      <c r="F110" t="e">
        <f>VLOOKUP(E110,species_list!A$2:B$1194,2,FALSE)</f>
        <v>#N/A</v>
      </c>
      <c r="G110">
        <v>7</v>
      </c>
      <c r="H110">
        <v>8.0000000000000002E-3</v>
      </c>
      <c r="I110" t="s">
        <v>1250</v>
      </c>
      <c r="J110" t="s">
        <v>1293</v>
      </c>
    </row>
    <row r="111" spans="1:11">
      <c r="A111">
        <v>19</v>
      </c>
      <c r="B111">
        <v>2</v>
      </c>
      <c r="C111" t="s">
        <v>76</v>
      </c>
      <c r="D111" t="s">
        <v>25</v>
      </c>
      <c r="E111" t="s">
        <v>26</v>
      </c>
      <c r="F111">
        <f>VLOOKUP(E111,species_list!A$2:B$1194,2,FALSE)</f>
        <v>435</v>
      </c>
      <c r="G111">
        <v>16</v>
      </c>
      <c r="H111">
        <v>6.7519999999999998</v>
      </c>
      <c r="I111" t="s">
        <v>27</v>
      </c>
      <c r="J111" t="s">
        <v>1291</v>
      </c>
    </row>
    <row r="112" spans="1:11">
      <c r="A112">
        <v>19</v>
      </c>
      <c r="B112">
        <v>2</v>
      </c>
      <c r="C112" t="s">
        <v>76</v>
      </c>
      <c r="D112" t="s">
        <v>25</v>
      </c>
      <c r="E112" t="s">
        <v>35</v>
      </c>
      <c r="F112">
        <f>VLOOKUP(E112,species_list!A$2:B$1194,2,FALSE)</f>
        <v>709</v>
      </c>
      <c r="G112">
        <v>2</v>
      </c>
      <c r="H112">
        <v>3.0000000000000001E-3</v>
      </c>
      <c r="I112" t="s">
        <v>27</v>
      </c>
      <c r="J112" t="s">
        <v>1291</v>
      </c>
    </row>
    <row r="113" spans="1:10">
      <c r="A113">
        <v>19</v>
      </c>
      <c r="B113">
        <v>2</v>
      </c>
      <c r="C113" t="s">
        <v>76</v>
      </c>
      <c r="D113" t="s">
        <v>25</v>
      </c>
      <c r="E113" t="s">
        <v>75</v>
      </c>
      <c r="F113">
        <f>VLOOKUP(E113,species_list!A$2:B$1194,2,FALSE)</f>
        <v>789</v>
      </c>
      <c r="G113">
        <v>1</v>
      </c>
      <c r="H113">
        <v>4.7E-2</v>
      </c>
      <c r="I113" t="s">
        <v>27</v>
      </c>
      <c r="J113" t="s">
        <v>1291</v>
      </c>
    </row>
    <row r="114" spans="1:10">
      <c r="A114">
        <v>19</v>
      </c>
      <c r="B114">
        <v>2</v>
      </c>
      <c r="C114" t="s">
        <v>76</v>
      </c>
      <c r="D114" t="s">
        <v>25</v>
      </c>
      <c r="E114" t="s">
        <v>41</v>
      </c>
      <c r="F114">
        <f>VLOOKUP(E114,species_list!A$2:B$1194,2,FALSE)</f>
        <v>828</v>
      </c>
      <c r="G114">
        <v>47</v>
      </c>
      <c r="H114">
        <v>1.6E-2</v>
      </c>
      <c r="I114" t="s">
        <v>27</v>
      </c>
      <c r="J114" t="s">
        <v>1291</v>
      </c>
    </row>
    <row r="115" spans="1:10">
      <c r="A115">
        <v>19</v>
      </c>
      <c r="B115">
        <v>2</v>
      </c>
      <c r="C115" t="s">
        <v>76</v>
      </c>
      <c r="D115" t="s">
        <v>25</v>
      </c>
      <c r="E115" t="s">
        <v>54</v>
      </c>
      <c r="F115">
        <f>VLOOKUP(E115,species_list!A$2:B$1194,2,FALSE)</f>
        <v>740</v>
      </c>
      <c r="G115">
        <v>3</v>
      </c>
      <c r="H115">
        <v>3.0000000000000001E-3</v>
      </c>
      <c r="I115" t="s">
        <v>27</v>
      </c>
      <c r="J115" t="s">
        <v>1291</v>
      </c>
    </row>
    <row r="116" spans="1:10">
      <c r="A116">
        <v>19</v>
      </c>
      <c r="B116">
        <v>2</v>
      </c>
      <c r="C116" t="s">
        <v>76</v>
      </c>
      <c r="D116" t="s">
        <v>25</v>
      </c>
      <c r="E116" t="s">
        <v>72</v>
      </c>
      <c r="F116">
        <f>VLOOKUP(E116,species_list!A$2:B$1194,2,FALSE)</f>
        <v>376</v>
      </c>
      <c r="G116">
        <v>43</v>
      </c>
      <c r="H116">
        <v>0.1</v>
      </c>
      <c r="I116" t="s">
        <v>27</v>
      </c>
      <c r="J116" t="s">
        <v>1292</v>
      </c>
    </row>
    <row r="117" spans="1:10">
      <c r="A117">
        <v>19</v>
      </c>
      <c r="B117">
        <v>2</v>
      </c>
      <c r="C117" t="s">
        <v>76</v>
      </c>
      <c r="D117" t="s">
        <v>25</v>
      </c>
      <c r="E117" t="s">
        <v>44</v>
      </c>
      <c r="F117">
        <f>VLOOKUP(E117,species_list!A$2:B$1194,2,FALSE)</f>
        <v>375</v>
      </c>
      <c r="G117">
        <v>591</v>
      </c>
      <c r="H117">
        <v>1.444</v>
      </c>
      <c r="I117" t="s">
        <v>27</v>
      </c>
      <c r="J117" t="s">
        <v>1292</v>
      </c>
    </row>
    <row r="118" spans="1:10">
      <c r="A118">
        <v>19</v>
      </c>
      <c r="B118">
        <v>2</v>
      </c>
      <c r="C118" t="s">
        <v>76</v>
      </c>
      <c r="D118" t="s">
        <v>25</v>
      </c>
      <c r="E118" t="s">
        <v>1270</v>
      </c>
      <c r="F118" t="e">
        <f>VLOOKUP(E118,species_list!A$2:B$1194,2,FALSE)</f>
        <v>#N/A</v>
      </c>
      <c r="G118">
        <v>11</v>
      </c>
      <c r="H118">
        <v>0.01</v>
      </c>
      <c r="I118" t="s">
        <v>1250</v>
      </c>
      <c r="J118" t="s">
        <v>1291</v>
      </c>
    </row>
    <row r="119" spans="1:10">
      <c r="A119">
        <v>19</v>
      </c>
      <c r="B119">
        <v>2</v>
      </c>
      <c r="C119" t="s">
        <v>76</v>
      </c>
      <c r="D119" t="s">
        <v>25</v>
      </c>
      <c r="E119" t="s">
        <v>1036</v>
      </c>
      <c r="F119">
        <f>VLOOKUP(E119,species_list!A$2:B$1194,2,FALSE)</f>
        <v>797</v>
      </c>
      <c r="G119">
        <v>1</v>
      </c>
      <c r="H119">
        <v>1E-3</v>
      </c>
      <c r="I119" t="s">
        <v>1250</v>
      </c>
      <c r="J119" t="s">
        <v>1291</v>
      </c>
    </row>
    <row r="120" spans="1:10" hidden="1">
      <c r="A120">
        <v>32</v>
      </c>
      <c r="B120">
        <v>3</v>
      </c>
      <c r="C120" t="s">
        <v>24</v>
      </c>
      <c r="D120" t="s">
        <v>25</v>
      </c>
      <c r="E120" t="s">
        <v>26</v>
      </c>
      <c r="F120">
        <f>VLOOKUP(E120,species_list!A$2:B$1194,2,FALSE)</f>
        <v>435</v>
      </c>
      <c r="G120">
        <v>7</v>
      </c>
      <c r="H120">
        <v>1.8049999999999999</v>
      </c>
      <c r="I120" t="s">
        <v>27</v>
      </c>
      <c r="J120" t="s">
        <v>28</v>
      </c>
    </row>
    <row r="121" spans="1:10" hidden="1">
      <c r="A121">
        <v>32</v>
      </c>
      <c r="B121">
        <v>3</v>
      </c>
      <c r="C121" t="s">
        <v>24</v>
      </c>
      <c r="D121" t="s">
        <v>25</v>
      </c>
      <c r="E121" t="s">
        <v>29</v>
      </c>
      <c r="F121">
        <f>VLOOKUP(E121,species_list!A$2:B$1194,2,FALSE)</f>
        <v>993</v>
      </c>
      <c r="G121" t="s">
        <v>25</v>
      </c>
      <c r="H121">
        <v>0.19400000000000001</v>
      </c>
      <c r="I121" t="s">
        <v>27</v>
      </c>
      <c r="J121" t="s">
        <v>28</v>
      </c>
    </row>
    <row r="122" spans="1:10" hidden="1">
      <c r="A122">
        <v>32</v>
      </c>
      <c r="B122">
        <v>3</v>
      </c>
      <c r="C122" t="s">
        <v>24</v>
      </c>
      <c r="D122" t="s">
        <v>25</v>
      </c>
      <c r="E122" t="s">
        <v>30</v>
      </c>
      <c r="F122">
        <f>VLOOKUP(E122,species_list!A$2:B$1194,2,FALSE)</f>
        <v>1000</v>
      </c>
      <c r="G122" t="s">
        <v>25</v>
      </c>
      <c r="H122">
        <v>1.69</v>
      </c>
      <c r="I122" t="s">
        <v>27</v>
      </c>
      <c r="J122" t="s">
        <v>28</v>
      </c>
    </row>
    <row r="123" spans="1:10" hidden="1">
      <c r="A123">
        <v>32</v>
      </c>
      <c r="B123">
        <v>3</v>
      </c>
      <c r="C123" t="s">
        <v>24</v>
      </c>
      <c r="D123" t="s">
        <v>25</v>
      </c>
      <c r="E123" t="s">
        <v>31</v>
      </c>
      <c r="F123">
        <f>VLOOKUP(E123,species_list!A$2:B$1194,2,FALSE)</f>
        <v>1002</v>
      </c>
      <c r="G123" t="s">
        <v>25</v>
      </c>
      <c r="H123">
        <v>5.0000000000000001E-3</v>
      </c>
      <c r="I123" t="s">
        <v>27</v>
      </c>
      <c r="J123" t="s">
        <v>28</v>
      </c>
    </row>
    <row r="124" spans="1:10" hidden="1">
      <c r="A124">
        <v>32</v>
      </c>
      <c r="B124">
        <v>3</v>
      </c>
      <c r="C124" t="s">
        <v>24</v>
      </c>
      <c r="D124" t="s">
        <v>25</v>
      </c>
      <c r="E124" t="s">
        <v>32</v>
      </c>
      <c r="F124">
        <f>VLOOKUP(E124,species_list!A$2:B$1194,2,FALSE)</f>
        <v>969</v>
      </c>
      <c r="G124" t="s">
        <v>25</v>
      </c>
      <c r="H124">
        <v>1E-3</v>
      </c>
      <c r="I124" t="s">
        <v>27</v>
      </c>
      <c r="J124" t="s">
        <v>28</v>
      </c>
    </row>
    <row r="125" spans="1:10" hidden="1">
      <c r="A125">
        <v>32</v>
      </c>
      <c r="B125">
        <v>3</v>
      </c>
      <c r="C125" t="s">
        <v>24</v>
      </c>
      <c r="D125" t="s">
        <v>25</v>
      </c>
      <c r="E125" t="s">
        <v>33</v>
      </c>
      <c r="F125">
        <f>VLOOKUP(E125,species_list!A$2:B$1194,2,FALSE)</f>
        <v>276</v>
      </c>
      <c r="G125">
        <v>1</v>
      </c>
      <c r="H125">
        <v>8.9999999999999993E-3</v>
      </c>
      <c r="I125" t="s">
        <v>27</v>
      </c>
      <c r="J125" t="s">
        <v>28</v>
      </c>
    </row>
    <row r="126" spans="1:10" hidden="1">
      <c r="A126">
        <v>32</v>
      </c>
      <c r="B126">
        <v>3</v>
      </c>
      <c r="C126" t="s">
        <v>24</v>
      </c>
      <c r="D126" t="s">
        <v>25</v>
      </c>
      <c r="E126" t="s">
        <v>34</v>
      </c>
      <c r="F126">
        <f>VLOOKUP(E126,species_list!A$2:B$1194,2,FALSE)</f>
        <v>732</v>
      </c>
      <c r="G126">
        <v>39</v>
      </c>
      <c r="H126">
        <v>1.7000000000000001E-2</v>
      </c>
      <c r="I126" t="s">
        <v>27</v>
      </c>
      <c r="J126" t="s">
        <v>28</v>
      </c>
    </row>
    <row r="127" spans="1:10" hidden="1">
      <c r="A127">
        <v>32</v>
      </c>
      <c r="B127">
        <v>3</v>
      </c>
      <c r="C127" t="s">
        <v>24</v>
      </c>
      <c r="D127" t="s">
        <v>25</v>
      </c>
      <c r="E127" t="s">
        <v>35</v>
      </c>
      <c r="F127">
        <f>VLOOKUP(E127,species_list!A$2:B$1194,2,FALSE)</f>
        <v>709</v>
      </c>
      <c r="G127">
        <v>7</v>
      </c>
      <c r="H127">
        <v>8.9999999999999993E-3</v>
      </c>
      <c r="I127" t="s">
        <v>27</v>
      </c>
      <c r="J127" t="s">
        <v>28</v>
      </c>
    </row>
    <row r="128" spans="1:10" hidden="1">
      <c r="A128">
        <v>32</v>
      </c>
      <c r="B128">
        <v>3</v>
      </c>
      <c r="C128" t="s">
        <v>24</v>
      </c>
      <c r="D128" t="s">
        <v>25</v>
      </c>
      <c r="E128" t="s">
        <v>36</v>
      </c>
      <c r="F128">
        <f>VLOOKUP(E128,species_list!A$2:B$1194,2,FALSE)</f>
        <v>642</v>
      </c>
      <c r="G128">
        <v>2</v>
      </c>
      <c r="H128">
        <v>2.5000000000000001E-2</v>
      </c>
      <c r="I128" t="s">
        <v>27</v>
      </c>
      <c r="J128" t="s">
        <v>28</v>
      </c>
    </row>
    <row r="129" spans="1:10" hidden="1">
      <c r="A129">
        <v>32</v>
      </c>
      <c r="B129">
        <v>3</v>
      </c>
      <c r="C129" t="s">
        <v>24</v>
      </c>
      <c r="D129" t="s">
        <v>25</v>
      </c>
      <c r="E129" t="s">
        <v>37</v>
      </c>
      <c r="F129">
        <f>VLOOKUP(E129,species_list!A$2:B$1194,2,FALSE)</f>
        <v>615</v>
      </c>
      <c r="G129">
        <v>2</v>
      </c>
      <c r="H129">
        <v>1.0999999999999999E-2</v>
      </c>
      <c r="I129" t="s">
        <v>27</v>
      </c>
      <c r="J129" t="s">
        <v>28</v>
      </c>
    </row>
    <row r="130" spans="1:10" hidden="1">
      <c r="A130">
        <v>32</v>
      </c>
      <c r="B130">
        <v>3</v>
      </c>
      <c r="C130" t="s">
        <v>24</v>
      </c>
      <c r="D130" t="s">
        <v>25</v>
      </c>
      <c r="E130" t="s">
        <v>38</v>
      </c>
      <c r="F130">
        <f>VLOOKUP(E130,species_list!A$2:B$1194,2,FALSE)</f>
        <v>784</v>
      </c>
      <c r="G130">
        <v>2</v>
      </c>
      <c r="H130">
        <v>2E-3</v>
      </c>
      <c r="I130" t="s">
        <v>27</v>
      </c>
      <c r="J130" t="s">
        <v>28</v>
      </c>
    </row>
    <row r="131" spans="1:10" hidden="1">
      <c r="A131">
        <v>32</v>
      </c>
      <c r="B131">
        <v>3</v>
      </c>
      <c r="C131" t="s">
        <v>24</v>
      </c>
      <c r="D131" t="s">
        <v>25</v>
      </c>
      <c r="E131" t="s">
        <v>39</v>
      </c>
      <c r="F131">
        <f>VLOOKUP(E131,species_list!A$2:B$1194,2,FALSE)</f>
        <v>819</v>
      </c>
      <c r="G131">
        <v>1</v>
      </c>
      <c r="H131">
        <v>2E-3</v>
      </c>
      <c r="I131" t="s">
        <v>27</v>
      </c>
      <c r="J131" t="s">
        <v>28</v>
      </c>
    </row>
    <row r="132" spans="1:10" hidden="1">
      <c r="A132">
        <v>32</v>
      </c>
      <c r="B132">
        <v>3</v>
      </c>
      <c r="C132" t="s">
        <v>24</v>
      </c>
      <c r="D132" t="s">
        <v>25</v>
      </c>
      <c r="E132" t="s">
        <v>40</v>
      </c>
      <c r="F132">
        <f>VLOOKUP(E132,species_list!A$2:B$1194,2,FALSE)</f>
        <v>829</v>
      </c>
      <c r="G132">
        <v>2</v>
      </c>
      <c r="H132">
        <v>2E-3</v>
      </c>
      <c r="I132" t="s">
        <v>27</v>
      </c>
      <c r="J132" t="s">
        <v>28</v>
      </c>
    </row>
    <row r="133" spans="1:10" hidden="1">
      <c r="A133">
        <v>32</v>
      </c>
      <c r="B133">
        <v>3</v>
      </c>
      <c r="C133" t="s">
        <v>24</v>
      </c>
      <c r="D133" t="s">
        <v>25</v>
      </c>
      <c r="E133" t="s">
        <v>41</v>
      </c>
      <c r="F133">
        <f>VLOOKUP(E133,species_list!A$2:B$1194,2,FALSE)</f>
        <v>828</v>
      </c>
      <c r="G133">
        <v>1</v>
      </c>
      <c r="H133">
        <v>2E-3</v>
      </c>
      <c r="I133" t="s">
        <v>27</v>
      </c>
      <c r="J133" t="s">
        <v>28</v>
      </c>
    </row>
    <row r="134" spans="1:10" hidden="1">
      <c r="A134">
        <v>32</v>
      </c>
      <c r="B134">
        <v>3</v>
      </c>
      <c r="C134" t="s">
        <v>24</v>
      </c>
      <c r="D134" t="s">
        <v>25</v>
      </c>
      <c r="E134" t="s">
        <v>42</v>
      </c>
      <c r="F134">
        <f>VLOOKUP(E134,species_list!A$2:B$1194,2,FALSE)</f>
        <v>826</v>
      </c>
      <c r="G134">
        <v>1</v>
      </c>
      <c r="H134">
        <v>1E-3</v>
      </c>
      <c r="I134" t="s">
        <v>27</v>
      </c>
      <c r="J134" t="s">
        <v>28</v>
      </c>
    </row>
    <row r="135" spans="1:10" hidden="1">
      <c r="A135">
        <v>32</v>
      </c>
      <c r="B135">
        <v>3</v>
      </c>
      <c r="C135" t="s">
        <v>24</v>
      </c>
      <c r="D135" t="s">
        <v>25</v>
      </c>
      <c r="E135" t="s">
        <v>43</v>
      </c>
      <c r="F135">
        <f>VLOOKUP(E135,species_list!A$2:B$1194,2,FALSE)</f>
        <v>457</v>
      </c>
      <c r="G135">
        <v>56</v>
      </c>
      <c r="H135">
        <v>1.228</v>
      </c>
      <c r="I135" t="s">
        <v>27</v>
      </c>
      <c r="J135" t="s">
        <v>28</v>
      </c>
    </row>
    <row r="136" spans="1:10" hidden="1">
      <c r="A136">
        <v>32</v>
      </c>
      <c r="B136">
        <v>3</v>
      </c>
      <c r="C136" t="s">
        <v>24</v>
      </c>
      <c r="D136" t="s">
        <v>25</v>
      </c>
      <c r="E136" t="s">
        <v>44</v>
      </c>
      <c r="F136">
        <f>VLOOKUP(E136,species_list!A$2:B$1194,2,FALSE)</f>
        <v>375</v>
      </c>
      <c r="G136">
        <v>337</v>
      </c>
      <c r="H136">
        <v>0.74099999999999999</v>
      </c>
      <c r="I136" t="s">
        <v>27</v>
      </c>
      <c r="J136" t="s">
        <v>28</v>
      </c>
    </row>
    <row r="137" spans="1:10" hidden="1">
      <c r="A137">
        <v>32</v>
      </c>
      <c r="B137">
        <v>1</v>
      </c>
      <c r="C137" t="s">
        <v>45</v>
      </c>
      <c r="D137" t="s">
        <v>25</v>
      </c>
      <c r="E137" t="s">
        <v>30</v>
      </c>
      <c r="F137">
        <f>VLOOKUP(E137,species_list!A$2:B$1194,2,FALSE)</f>
        <v>1000</v>
      </c>
      <c r="G137" t="s">
        <v>25</v>
      </c>
      <c r="H137">
        <v>2.9159999999999999</v>
      </c>
      <c r="I137" t="s">
        <v>27</v>
      </c>
      <c r="J137" t="s">
        <v>46</v>
      </c>
    </row>
    <row r="138" spans="1:10" hidden="1">
      <c r="A138">
        <v>32</v>
      </c>
      <c r="B138">
        <v>1</v>
      </c>
      <c r="C138" t="s">
        <v>45</v>
      </c>
      <c r="D138" t="s">
        <v>25</v>
      </c>
      <c r="E138" t="s">
        <v>47</v>
      </c>
      <c r="F138">
        <f>VLOOKUP(E138,species_list!A$2:B$1194,2,FALSE)</f>
        <v>250</v>
      </c>
      <c r="G138">
        <v>2</v>
      </c>
      <c r="H138">
        <v>0.83899999999999997</v>
      </c>
      <c r="I138" t="s">
        <v>27</v>
      </c>
      <c r="J138" t="s">
        <v>46</v>
      </c>
    </row>
    <row r="139" spans="1:10" hidden="1">
      <c r="A139">
        <v>32</v>
      </c>
      <c r="B139">
        <v>1</v>
      </c>
      <c r="C139" t="s">
        <v>45</v>
      </c>
      <c r="D139" t="s">
        <v>25</v>
      </c>
      <c r="E139" t="s">
        <v>26</v>
      </c>
      <c r="F139">
        <f>VLOOKUP(E139,species_list!A$2:B$1194,2,FALSE)</f>
        <v>435</v>
      </c>
      <c r="G139">
        <v>3</v>
      </c>
      <c r="H139">
        <v>4.1500000000000004</v>
      </c>
      <c r="I139" t="s">
        <v>27</v>
      </c>
      <c r="J139" t="s">
        <v>46</v>
      </c>
    </row>
    <row r="140" spans="1:10" hidden="1">
      <c r="A140">
        <v>32</v>
      </c>
      <c r="B140">
        <v>1</v>
      </c>
      <c r="C140" t="s">
        <v>45</v>
      </c>
      <c r="D140" t="s">
        <v>25</v>
      </c>
      <c r="E140" t="s">
        <v>32</v>
      </c>
      <c r="F140">
        <f>VLOOKUP(E140,species_list!A$2:B$1194,2,FALSE)</f>
        <v>969</v>
      </c>
      <c r="G140" t="s">
        <v>25</v>
      </c>
      <c r="H140">
        <v>0.114</v>
      </c>
      <c r="I140" t="s">
        <v>27</v>
      </c>
      <c r="J140" t="s">
        <v>46</v>
      </c>
    </row>
    <row r="141" spans="1:10" hidden="1">
      <c r="A141">
        <v>32</v>
      </c>
      <c r="B141">
        <v>1</v>
      </c>
      <c r="C141" t="s">
        <v>45</v>
      </c>
      <c r="D141" t="s">
        <v>25</v>
      </c>
      <c r="E141" t="s">
        <v>48</v>
      </c>
      <c r="F141">
        <f>VLOOKUP(E141,species_list!A$2:B$1194,2,FALSE)</f>
        <v>985</v>
      </c>
      <c r="G141" t="s">
        <v>25</v>
      </c>
      <c r="H141">
        <v>1E-3</v>
      </c>
      <c r="I141" t="s">
        <v>27</v>
      </c>
      <c r="J141" t="s">
        <v>46</v>
      </c>
    </row>
    <row r="142" spans="1:10" hidden="1">
      <c r="A142">
        <v>32</v>
      </c>
      <c r="B142">
        <v>1</v>
      </c>
      <c r="C142" t="s">
        <v>45</v>
      </c>
      <c r="D142" t="s">
        <v>25</v>
      </c>
      <c r="E142" t="s">
        <v>49</v>
      </c>
      <c r="F142">
        <f>VLOOKUP(E142,species_list!A$2:B$1194,2,FALSE)</f>
        <v>6</v>
      </c>
      <c r="G142" t="s">
        <v>25</v>
      </c>
      <c r="H142">
        <v>1.9E-2</v>
      </c>
      <c r="I142" t="s">
        <v>27</v>
      </c>
      <c r="J142" t="s">
        <v>46</v>
      </c>
    </row>
    <row r="143" spans="1:10" hidden="1">
      <c r="A143">
        <v>32</v>
      </c>
      <c r="B143">
        <v>1</v>
      </c>
      <c r="C143" t="s">
        <v>45</v>
      </c>
      <c r="D143" t="s">
        <v>25</v>
      </c>
      <c r="E143" t="s">
        <v>50</v>
      </c>
      <c r="F143">
        <f>VLOOKUP(E143,species_list!A$2:B$1194,2,FALSE)</f>
        <v>91</v>
      </c>
      <c r="G143">
        <v>1</v>
      </c>
      <c r="H143">
        <v>3.9E-2</v>
      </c>
      <c r="I143" t="s">
        <v>27</v>
      </c>
      <c r="J143" t="s">
        <v>46</v>
      </c>
    </row>
    <row r="144" spans="1:10" hidden="1">
      <c r="A144">
        <v>32</v>
      </c>
      <c r="B144">
        <v>1</v>
      </c>
      <c r="C144" t="s">
        <v>45</v>
      </c>
      <c r="D144" t="s">
        <v>25</v>
      </c>
      <c r="E144" t="s">
        <v>51</v>
      </c>
      <c r="F144">
        <f>VLOOKUP(E144,species_list!A$2:B$1194,2,FALSE)</f>
        <v>189</v>
      </c>
      <c r="G144">
        <v>3</v>
      </c>
      <c r="H144">
        <v>3.0000000000000001E-3</v>
      </c>
      <c r="I144" t="s">
        <v>27</v>
      </c>
      <c r="J144" t="s">
        <v>46</v>
      </c>
    </row>
    <row r="145" spans="1:10" hidden="1">
      <c r="A145">
        <v>32</v>
      </c>
      <c r="B145">
        <v>1</v>
      </c>
      <c r="C145" t="s">
        <v>45</v>
      </c>
      <c r="D145" t="s">
        <v>25</v>
      </c>
      <c r="E145" t="s">
        <v>52</v>
      </c>
      <c r="F145">
        <f>VLOOKUP(E145,species_list!A$2:B$1194,2,FALSE)</f>
        <v>157</v>
      </c>
      <c r="G145">
        <v>5</v>
      </c>
      <c r="H145">
        <v>5.0000000000000001E-3</v>
      </c>
      <c r="I145" t="s">
        <v>27</v>
      </c>
      <c r="J145" t="s">
        <v>46</v>
      </c>
    </row>
    <row r="146" spans="1:10" hidden="1">
      <c r="A146">
        <v>32</v>
      </c>
      <c r="B146">
        <v>1</v>
      </c>
      <c r="C146" t="s">
        <v>45</v>
      </c>
      <c r="D146" t="s">
        <v>25</v>
      </c>
      <c r="E146" t="s">
        <v>53</v>
      </c>
      <c r="F146">
        <f>VLOOKUP(E146,species_list!A$2:B$1194,2,FALSE)</f>
        <v>281</v>
      </c>
      <c r="G146">
        <v>5</v>
      </c>
      <c r="H146">
        <v>5.0000000000000001E-3</v>
      </c>
      <c r="I146" t="s">
        <v>27</v>
      </c>
      <c r="J146" t="s">
        <v>46</v>
      </c>
    </row>
    <row r="147" spans="1:10" hidden="1">
      <c r="A147">
        <v>32</v>
      </c>
      <c r="B147">
        <v>1</v>
      </c>
      <c r="C147" t="s">
        <v>45</v>
      </c>
      <c r="D147" t="s">
        <v>25</v>
      </c>
      <c r="E147" t="s">
        <v>37</v>
      </c>
      <c r="F147">
        <f>VLOOKUP(E147,species_list!A$2:B$1194,2,FALSE)</f>
        <v>615</v>
      </c>
      <c r="G147">
        <v>1</v>
      </c>
      <c r="H147">
        <v>4.0000000000000001E-3</v>
      </c>
      <c r="I147" t="s">
        <v>27</v>
      </c>
      <c r="J147" t="s">
        <v>46</v>
      </c>
    </row>
    <row r="148" spans="1:10" hidden="1">
      <c r="A148">
        <v>32</v>
      </c>
      <c r="B148">
        <v>1</v>
      </c>
      <c r="C148" t="s">
        <v>45</v>
      </c>
      <c r="D148" t="s">
        <v>25</v>
      </c>
      <c r="E148" t="s">
        <v>38</v>
      </c>
      <c r="F148">
        <f>VLOOKUP(E148,species_list!A$2:B$1194,2,FALSE)</f>
        <v>784</v>
      </c>
      <c r="G148">
        <v>1</v>
      </c>
      <c r="H148">
        <v>1E-3</v>
      </c>
      <c r="I148" t="s">
        <v>27</v>
      </c>
      <c r="J148" t="s">
        <v>46</v>
      </c>
    </row>
    <row r="149" spans="1:10" hidden="1">
      <c r="A149">
        <v>32</v>
      </c>
      <c r="B149">
        <v>1</v>
      </c>
      <c r="C149" t="s">
        <v>45</v>
      </c>
      <c r="D149" t="s">
        <v>25</v>
      </c>
      <c r="E149" t="s">
        <v>54</v>
      </c>
      <c r="F149">
        <f>VLOOKUP(E149,species_list!A$2:B$1194,2,FALSE)</f>
        <v>740</v>
      </c>
      <c r="G149">
        <v>1</v>
      </c>
      <c r="H149">
        <v>5.0000000000000001E-3</v>
      </c>
      <c r="I149" t="s">
        <v>27</v>
      </c>
      <c r="J149" t="s">
        <v>46</v>
      </c>
    </row>
    <row r="150" spans="1:10" hidden="1">
      <c r="A150">
        <v>32</v>
      </c>
      <c r="B150">
        <v>1</v>
      </c>
      <c r="C150" t="s">
        <v>45</v>
      </c>
      <c r="D150" t="s">
        <v>25</v>
      </c>
      <c r="E150" t="s">
        <v>34</v>
      </c>
      <c r="F150">
        <f>VLOOKUP(E150,species_list!A$2:B$1194,2,FALSE)</f>
        <v>732</v>
      </c>
      <c r="G150">
        <v>10</v>
      </c>
      <c r="H150">
        <v>5.0000000000000001E-3</v>
      </c>
      <c r="I150" t="s">
        <v>27</v>
      </c>
      <c r="J150" t="s">
        <v>46</v>
      </c>
    </row>
    <row r="151" spans="1:10" hidden="1">
      <c r="A151">
        <v>32</v>
      </c>
      <c r="B151">
        <v>1</v>
      </c>
      <c r="C151" t="s">
        <v>45</v>
      </c>
      <c r="D151" t="s">
        <v>25</v>
      </c>
      <c r="E151" t="s">
        <v>35</v>
      </c>
      <c r="F151">
        <f>VLOOKUP(E151,species_list!A$2:B$1194,2,FALSE)</f>
        <v>709</v>
      </c>
      <c r="G151">
        <v>1</v>
      </c>
      <c r="H151">
        <v>1E-3</v>
      </c>
      <c r="I151" t="s">
        <v>27</v>
      </c>
      <c r="J151" t="s">
        <v>46</v>
      </c>
    </row>
    <row r="152" spans="1:10" hidden="1">
      <c r="A152">
        <v>32</v>
      </c>
      <c r="B152">
        <v>1</v>
      </c>
      <c r="C152" t="s">
        <v>45</v>
      </c>
      <c r="D152" t="s">
        <v>25</v>
      </c>
      <c r="E152" t="s">
        <v>40</v>
      </c>
      <c r="F152">
        <f>VLOOKUP(E152,species_list!A$2:B$1194,2,FALSE)</f>
        <v>829</v>
      </c>
      <c r="G152">
        <v>1</v>
      </c>
      <c r="H152">
        <v>1E-3</v>
      </c>
      <c r="I152" t="s">
        <v>27</v>
      </c>
      <c r="J152" t="s">
        <v>46</v>
      </c>
    </row>
    <row r="153" spans="1:10" hidden="1">
      <c r="A153">
        <v>32</v>
      </c>
      <c r="B153">
        <v>1</v>
      </c>
      <c r="C153" t="s">
        <v>45</v>
      </c>
      <c r="D153" t="s">
        <v>25</v>
      </c>
      <c r="E153" t="s">
        <v>55</v>
      </c>
      <c r="F153">
        <f>VLOOKUP(E153,species_list!A$2:B$1194,2,FALSE)</f>
        <v>718</v>
      </c>
      <c r="G153">
        <v>1</v>
      </c>
      <c r="H153">
        <v>3.0000000000000001E-3</v>
      </c>
      <c r="I153" t="s">
        <v>27</v>
      </c>
      <c r="J153" t="s">
        <v>46</v>
      </c>
    </row>
    <row r="154" spans="1:10" hidden="1">
      <c r="A154">
        <v>32</v>
      </c>
      <c r="B154">
        <v>1</v>
      </c>
      <c r="C154" t="s">
        <v>45</v>
      </c>
      <c r="D154" t="s">
        <v>25</v>
      </c>
      <c r="E154" t="s">
        <v>43</v>
      </c>
      <c r="F154">
        <f>VLOOKUP(E154,species_list!A$2:B$1194,2,FALSE)</f>
        <v>457</v>
      </c>
      <c r="G154">
        <v>162</v>
      </c>
      <c r="H154">
        <v>1.1180000000000001</v>
      </c>
      <c r="I154" t="s">
        <v>27</v>
      </c>
      <c r="J154" t="s">
        <v>46</v>
      </c>
    </row>
    <row r="155" spans="1:10" hidden="1">
      <c r="A155">
        <v>32</v>
      </c>
      <c r="B155">
        <v>1</v>
      </c>
      <c r="C155" t="s">
        <v>45</v>
      </c>
      <c r="D155" t="s">
        <v>25</v>
      </c>
      <c r="E155" t="s">
        <v>56</v>
      </c>
      <c r="F155">
        <f>VLOOKUP(E155,species_list!A$2:B$1194,2,FALSE)</f>
        <v>379</v>
      </c>
      <c r="G155">
        <v>1</v>
      </c>
      <c r="H155">
        <v>3.0000000000000001E-3</v>
      </c>
      <c r="I155" t="s">
        <v>27</v>
      </c>
      <c r="J155" t="s">
        <v>46</v>
      </c>
    </row>
    <row r="156" spans="1:10" hidden="1">
      <c r="A156">
        <v>32</v>
      </c>
      <c r="B156">
        <v>1</v>
      </c>
      <c r="C156" t="s">
        <v>45</v>
      </c>
      <c r="D156" t="s">
        <v>25</v>
      </c>
      <c r="E156" t="s">
        <v>44</v>
      </c>
      <c r="F156">
        <f>VLOOKUP(E156,species_list!A$2:B$1194,2,FALSE)</f>
        <v>375</v>
      </c>
      <c r="G156">
        <v>825</v>
      </c>
      <c r="H156">
        <v>2.036</v>
      </c>
      <c r="I156" t="s">
        <v>27</v>
      </c>
      <c r="J156" t="s">
        <v>57</v>
      </c>
    </row>
    <row r="157" spans="1:10" hidden="1">
      <c r="A157">
        <v>34</v>
      </c>
      <c r="B157">
        <v>3</v>
      </c>
      <c r="C157" t="s">
        <v>11</v>
      </c>
      <c r="D157" t="s">
        <v>25</v>
      </c>
      <c r="E157" t="s">
        <v>43</v>
      </c>
      <c r="F157">
        <f>VLOOKUP(E157,species_list!A$2:B$1194,2,FALSE)</f>
        <v>457</v>
      </c>
      <c r="G157">
        <v>251</v>
      </c>
      <c r="H157">
        <v>0.55300000000000005</v>
      </c>
      <c r="I157" t="s">
        <v>27</v>
      </c>
      <c r="J157" t="s">
        <v>57</v>
      </c>
    </row>
    <row r="158" spans="1:10" hidden="1">
      <c r="A158">
        <v>34</v>
      </c>
      <c r="B158">
        <v>3</v>
      </c>
      <c r="C158" t="s">
        <v>11</v>
      </c>
      <c r="D158" t="s">
        <v>25</v>
      </c>
      <c r="E158" t="s">
        <v>26</v>
      </c>
      <c r="F158">
        <f>VLOOKUP(E158,species_list!A$2:B$1194,2,FALSE)</f>
        <v>435</v>
      </c>
      <c r="G158">
        <v>7</v>
      </c>
      <c r="H158">
        <v>6.0250000000000004</v>
      </c>
      <c r="I158" t="s">
        <v>27</v>
      </c>
      <c r="J158" t="s">
        <v>57</v>
      </c>
    </row>
    <row r="159" spans="1:10" hidden="1">
      <c r="A159">
        <v>34</v>
      </c>
      <c r="B159">
        <v>3</v>
      </c>
      <c r="C159" t="s">
        <v>11</v>
      </c>
      <c r="D159" t="s">
        <v>25</v>
      </c>
      <c r="E159" t="s">
        <v>58</v>
      </c>
      <c r="F159">
        <f>VLOOKUP(E159,species_list!A$2:B$1194,2,FALSE)</f>
        <v>440</v>
      </c>
      <c r="G159">
        <v>1</v>
      </c>
      <c r="H159">
        <v>0.28799999999999998</v>
      </c>
      <c r="I159" t="s">
        <v>27</v>
      </c>
      <c r="J159" t="s">
        <v>57</v>
      </c>
    </row>
    <row r="160" spans="1:10" hidden="1">
      <c r="A160">
        <v>34</v>
      </c>
      <c r="B160">
        <v>3</v>
      </c>
      <c r="C160" t="s">
        <v>11</v>
      </c>
      <c r="D160" t="s">
        <v>25</v>
      </c>
      <c r="E160" t="s">
        <v>47</v>
      </c>
      <c r="F160">
        <f>VLOOKUP(E160,species_list!A$2:B$1194,2,FALSE)</f>
        <v>250</v>
      </c>
      <c r="G160">
        <v>1</v>
      </c>
      <c r="H160">
        <v>1.1659999999999999</v>
      </c>
      <c r="I160" t="s">
        <v>27</v>
      </c>
      <c r="J160" t="s">
        <v>57</v>
      </c>
    </row>
    <row r="161" spans="1:10" hidden="1">
      <c r="A161">
        <v>34</v>
      </c>
      <c r="B161">
        <v>3</v>
      </c>
      <c r="C161" t="s">
        <v>11</v>
      </c>
      <c r="D161" t="s">
        <v>25</v>
      </c>
      <c r="E161" t="s">
        <v>59</v>
      </c>
      <c r="F161">
        <f>VLOOKUP(E161,species_list!A$2:B$1194,2,FALSE)</f>
        <v>380</v>
      </c>
      <c r="G161">
        <v>14</v>
      </c>
      <c r="H161">
        <v>1.708</v>
      </c>
      <c r="I161" t="s">
        <v>27</v>
      </c>
      <c r="J161" t="s">
        <v>60</v>
      </c>
    </row>
    <row r="162" spans="1:10" hidden="1">
      <c r="A162">
        <v>34</v>
      </c>
      <c r="B162">
        <v>3</v>
      </c>
      <c r="C162" t="s">
        <v>11</v>
      </c>
      <c r="D162" t="s">
        <v>25</v>
      </c>
      <c r="E162" t="s">
        <v>61</v>
      </c>
      <c r="F162">
        <f>VLOOKUP(E162,species_list!A$2:B$1194,2,FALSE)</f>
        <v>373</v>
      </c>
      <c r="G162">
        <v>1</v>
      </c>
      <c r="H162">
        <v>6.0000000000000001E-3</v>
      </c>
      <c r="I162" t="s">
        <v>27</v>
      </c>
      <c r="J162" t="s">
        <v>57</v>
      </c>
    </row>
    <row r="163" spans="1:10" hidden="1">
      <c r="A163">
        <v>34</v>
      </c>
      <c r="B163">
        <v>3</v>
      </c>
      <c r="C163" t="s">
        <v>11</v>
      </c>
      <c r="D163" t="s">
        <v>25</v>
      </c>
      <c r="E163" t="s">
        <v>30</v>
      </c>
      <c r="F163">
        <f>VLOOKUP(E163,species_list!A$2:B$1194,2,FALSE)</f>
        <v>1000</v>
      </c>
      <c r="G163" t="s">
        <v>25</v>
      </c>
      <c r="H163">
        <v>1E-3</v>
      </c>
      <c r="I163" t="s">
        <v>27</v>
      </c>
      <c r="J163" t="s">
        <v>57</v>
      </c>
    </row>
    <row r="164" spans="1:10" hidden="1">
      <c r="A164">
        <v>34</v>
      </c>
      <c r="B164">
        <v>3</v>
      </c>
      <c r="C164" t="s">
        <v>11</v>
      </c>
      <c r="D164" t="s">
        <v>25</v>
      </c>
      <c r="E164" t="s">
        <v>32</v>
      </c>
      <c r="F164">
        <f>VLOOKUP(E164,species_list!A$2:B$1194,2,FALSE)</f>
        <v>969</v>
      </c>
      <c r="G164" t="s">
        <v>25</v>
      </c>
      <c r="H164">
        <v>1E-3</v>
      </c>
      <c r="I164" t="s">
        <v>27</v>
      </c>
      <c r="J164" t="s">
        <v>57</v>
      </c>
    </row>
    <row r="165" spans="1:10" hidden="1">
      <c r="A165">
        <v>34</v>
      </c>
      <c r="B165">
        <v>3</v>
      </c>
      <c r="C165" t="s">
        <v>11</v>
      </c>
      <c r="D165" t="s">
        <v>25</v>
      </c>
      <c r="E165" t="s">
        <v>62</v>
      </c>
      <c r="F165">
        <f>VLOOKUP(E165,species_list!A$2:B$1194,2,FALSE)</f>
        <v>996</v>
      </c>
      <c r="G165" t="s">
        <v>25</v>
      </c>
      <c r="H165">
        <v>1E-3</v>
      </c>
      <c r="I165" t="s">
        <v>27</v>
      </c>
      <c r="J165" t="s">
        <v>57</v>
      </c>
    </row>
    <row r="166" spans="1:10" hidden="1">
      <c r="A166">
        <v>34</v>
      </c>
      <c r="B166">
        <v>3</v>
      </c>
      <c r="C166" t="s">
        <v>11</v>
      </c>
      <c r="D166" t="s">
        <v>25</v>
      </c>
      <c r="E166" t="s">
        <v>44</v>
      </c>
      <c r="F166">
        <f>VLOOKUP(E166,species_list!A$2:B$1194,2,FALSE)</f>
        <v>375</v>
      </c>
      <c r="G166">
        <v>68</v>
      </c>
      <c r="H166">
        <v>0.109</v>
      </c>
      <c r="I166" t="s">
        <v>27</v>
      </c>
      <c r="J166" t="s">
        <v>57</v>
      </c>
    </row>
    <row r="167" spans="1:10" hidden="1">
      <c r="A167">
        <v>34</v>
      </c>
      <c r="B167">
        <v>3</v>
      </c>
      <c r="C167" t="s">
        <v>11</v>
      </c>
      <c r="D167" t="s">
        <v>25</v>
      </c>
      <c r="E167" t="s">
        <v>63</v>
      </c>
      <c r="F167">
        <f>VLOOKUP(E167,species_list!A$2:B$1194,2,FALSE)</f>
        <v>374</v>
      </c>
      <c r="G167">
        <v>1</v>
      </c>
      <c r="H167">
        <v>1E-3</v>
      </c>
      <c r="I167" t="s">
        <v>27</v>
      </c>
      <c r="J167" t="s">
        <v>57</v>
      </c>
    </row>
    <row r="168" spans="1:10" hidden="1">
      <c r="A168">
        <v>34</v>
      </c>
      <c r="B168">
        <v>3</v>
      </c>
      <c r="C168" t="s">
        <v>11</v>
      </c>
      <c r="D168" t="s">
        <v>25</v>
      </c>
      <c r="E168" t="s">
        <v>34</v>
      </c>
      <c r="F168">
        <f>VLOOKUP(E168,species_list!A$2:B$1194,2,FALSE)</f>
        <v>732</v>
      </c>
      <c r="G168">
        <v>1</v>
      </c>
      <c r="H168">
        <v>2E-3</v>
      </c>
      <c r="I168" t="s">
        <v>27</v>
      </c>
      <c r="J168" t="s">
        <v>57</v>
      </c>
    </row>
    <row r="169" spans="1:10" hidden="1">
      <c r="A169">
        <v>34</v>
      </c>
      <c r="B169">
        <v>3</v>
      </c>
      <c r="C169" t="s">
        <v>11</v>
      </c>
      <c r="D169" t="s">
        <v>25</v>
      </c>
      <c r="E169" t="s">
        <v>64</v>
      </c>
      <c r="F169">
        <f>VLOOKUP(E169,species_list!A$2:B$1194,2,FALSE)</f>
        <v>830</v>
      </c>
      <c r="G169">
        <v>1</v>
      </c>
      <c r="H169">
        <v>1E-3</v>
      </c>
      <c r="I169" t="s">
        <v>27</v>
      </c>
      <c r="J169" t="s">
        <v>57</v>
      </c>
    </row>
    <row r="170" spans="1:10" hidden="1">
      <c r="A170">
        <v>34</v>
      </c>
      <c r="B170">
        <v>3</v>
      </c>
      <c r="C170" t="s">
        <v>11</v>
      </c>
      <c r="D170" t="s">
        <v>25</v>
      </c>
      <c r="E170" t="s">
        <v>40</v>
      </c>
      <c r="F170">
        <f>VLOOKUP(E170,species_list!A$2:B$1194,2,FALSE)</f>
        <v>829</v>
      </c>
      <c r="G170">
        <v>1</v>
      </c>
      <c r="H170">
        <v>1E-3</v>
      </c>
      <c r="I170" t="s">
        <v>27</v>
      </c>
      <c r="J170" t="s">
        <v>57</v>
      </c>
    </row>
    <row r="171" spans="1:10" hidden="1">
      <c r="A171">
        <v>34</v>
      </c>
      <c r="B171">
        <v>3</v>
      </c>
      <c r="C171" t="s">
        <v>11</v>
      </c>
      <c r="D171" t="s">
        <v>25</v>
      </c>
      <c r="E171" t="s">
        <v>51</v>
      </c>
      <c r="F171">
        <f>VLOOKUP(E171,species_list!A$2:B$1194,2,FALSE)</f>
        <v>189</v>
      </c>
      <c r="G171">
        <v>36</v>
      </c>
      <c r="H171">
        <v>0.159</v>
      </c>
      <c r="I171" t="s">
        <v>27</v>
      </c>
      <c r="J171" t="s">
        <v>57</v>
      </c>
    </row>
    <row r="172" spans="1:10" hidden="1">
      <c r="A172">
        <v>34</v>
      </c>
      <c r="B172">
        <v>3</v>
      </c>
      <c r="C172" t="s">
        <v>11</v>
      </c>
      <c r="D172" t="s">
        <v>25</v>
      </c>
      <c r="E172" t="s">
        <v>65</v>
      </c>
      <c r="F172">
        <f>VLOOKUP(E172,species_list!A$2:B$1194,2,FALSE)</f>
        <v>261</v>
      </c>
      <c r="G172">
        <v>2</v>
      </c>
      <c r="H172">
        <v>6.0000000000000001E-3</v>
      </c>
      <c r="I172" t="s">
        <v>27</v>
      </c>
      <c r="J172" t="s">
        <v>57</v>
      </c>
    </row>
    <row r="173" spans="1:10" hidden="1">
      <c r="A173">
        <v>34</v>
      </c>
      <c r="B173">
        <v>2</v>
      </c>
      <c r="C173" t="s">
        <v>13</v>
      </c>
      <c r="D173" t="s">
        <v>25</v>
      </c>
      <c r="E173" t="s">
        <v>43</v>
      </c>
      <c r="F173">
        <f>VLOOKUP(E173,species_list!A$2:B$1194,2,FALSE)</f>
        <v>457</v>
      </c>
      <c r="G173">
        <v>625</v>
      </c>
      <c r="H173">
        <v>10.138999999999999</v>
      </c>
      <c r="I173" t="s">
        <v>27</v>
      </c>
      <c r="J173" t="s">
        <v>66</v>
      </c>
    </row>
    <row r="174" spans="1:10" hidden="1">
      <c r="A174">
        <v>34</v>
      </c>
      <c r="B174">
        <v>2</v>
      </c>
      <c r="C174" t="s">
        <v>13</v>
      </c>
      <c r="D174" t="s">
        <v>25</v>
      </c>
      <c r="E174" t="s">
        <v>44</v>
      </c>
      <c r="F174">
        <f>VLOOKUP(E174,species_list!A$2:B$1194,2,FALSE)</f>
        <v>375</v>
      </c>
      <c r="G174">
        <v>118</v>
      </c>
      <c r="H174">
        <v>0.23100000000000001</v>
      </c>
      <c r="I174" t="s">
        <v>27</v>
      </c>
      <c r="J174" t="s">
        <v>66</v>
      </c>
    </row>
    <row r="175" spans="1:10" hidden="1">
      <c r="A175">
        <v>34</v>
      </c>
      <c r="B175">
        <v>2</v>
      </c>
      <c r="C175" t="s">
        <v>13</v>
      </c>
      <c r="D175" t="s">
        <v>25</v>
      </c>
      <c r="E175" t="s">
        <v>54</v>
      </c>
      <c r="F175">
        <f>VLOOKUP(E175,species_list!A$2:B$1194,2,FALSE)</f>
        <v>740</v>
      </c>
      <c r="G175">
        <v>2</v>
      </c>
      <c r="H175">
        <v>4.0000000000000001E-3</v>
      </c>
      <c r="I175" t="s">
        <v>27</v>
      </c>
      <c r="J175" t="s">
        <v>66</v>
      </c>
    </row>
    <row r="176" spans="1:10" hidden="1">
      <c r="A176">
        <v>34</v>
      </c>
      <c r="B176">
        <v>2</v>
      </c>
      <c r="C176" t="s">
        <v>13</v>
      </c>
      <c r="D176" t="s">
        <v>25</v>
      </c>
      <c r="E176" t="s">
        <v>55</v>
      </c>
      <c r="F176">
        <f>VLOOKUP(E176,species_list!A$2:B$1194,2,FALSE)</f>
        <v>718</v>
      </c>
      <c r="G176">
        <v>2</v>
      </c>
      <c r="H176">
        <v>5.0000000000000001E-3</v>
      </c>
      <c r="I176" t="s">
        <v>27</v>
      </c>
      <c r="J176" t="s">
        <v>66</v>
      </c>
    </row>
    <row r="177" spans="1:10" hidden="1">
      <c r="A177">
        <v>34</v>
      </c>
      <c r="B177">
        <v>2</v>
      </c>
      <c r="C177" t="s">
        <v>13</v>
      </c>
      <c r="D177" t="s">
        <v>25</v>
      </c>
      <c r="E177" t="s">
        <v>40</v>
      </c>
      <c r="F177">
        <f>VLOOKUP(E177,species_list!A$2:B$1194,2,FALSE)</f>
        <v>829</v>
      </c>
      <c r="G177">
        <v>1</v>
      </c>
      <c r="H177">
        <v>1E-3</v>
      </c>
      <c r="I177" t="s">
        <v>27</v>
      </c>
      <c r="J177" t="s">
        <v>66</v>
      </c>
    </row>
    <row r="178" spans="1:10" hidden="1">
      <c r="A178">
        <v>34</v>
      </c>
      <c r="B178">
        <v>2</v>
      </c>
      <c r="C178" t="s">
        <v>13</v>
      </c>
      <c r="D178" t="s">
        <v>25</v>
      </c>
      <c r="E178" t="s">
        <v>37</v>
      </c>
      <c r="F178">
        <f>VLOOKUP(E178,species_list!A$2:B$1194,2,FALSE)</f>
        <v>615</v>
      </c>
      <c r="G178">
        <v>1</v>
      </c>
      <c r="H178">
        <v>3.0000000000000001E-3</v>
      </c>
      <c r="I178" t="s">
        <v>27</v>
      </c>
      <c r="J178" t="s">
        <v>66</v>
      </c>
    </row>
    <row r="179" spans="1:10" hidden="1">
      <c r="A179">
        <v>34</v>
      </c>
      <c r="B179">
        <v>2</v>
      </c>
      <c r="C179" t="s">
        <v>13</v>
      </c>
      <c r="D179" t="s">
        <v>25</v>
      </c>
      <c r="E179" t="s">
        <v>34</v>
      </c>
      <c r="F179">
        <f>VLOOKUP(E179,species_list!A$2:B$1194,2,FALSE)</f>
        <v>732</v>
      </c>
      <c r="G179">
        <v>1</v>
      </c>
      <c r="H179">
        <v>3.0000000000000001E-3</v>
      </c>
      <c r="I179" t="s">
        <v>27</v>
      </c>
      <c r="J179" t="s">
        <v>66</v>
      </c>
    </row>
    <row r="180" spans="1:10" hidden="1">
      <c r="A180">
        <v>34</v>
      </c>
      <c r="B180">
        <v>2</v>
      </c>
      <c r="C180" t="s">
        <v>13</v>
      </c>
      <c r="D180" t="s">
        <v>25</v>
      </c>
      <c r="E180" t="s">
        <v>67</v>
      </c>
      <c r="F180">
        <f>VLOOKUP(E180,species_list!A$2:B$1194,2,FALSE)</f>
        <v>383</v>
      </c>
      <c r="G180">
        <v>2</v>
      </c>
      <c r="H180">
        <v>2E-3</v>
      </c>
      <c r="I180" t="s">
        <v>27</v>
      </c>
      <c r="J180" t="s">
        <v>66</v>
      </c>
    </row>
    <row r="181" spans="1:10" hidden="1">
      <c r="A181">
        <v>34</v>
      </c>
      <c r="B181">
        <v>2</v>
      </c>
      <c r="C181" t="s">
        <v>13</v>
      </c>
      <c r="D181" t="s">
        <v>25</v>
      </c>
      <c r="E181" t="s">
        <v>59</v>
      </c>
      <c r="F181">
        <f>VLOOKUP(E181,species_list!A$2:B$1194,2,FALSE)</f>
        <v>380</v>
      </c>
      <c r="G181">
        <v>10</v>
      </c>
      <c r="H181">
        <v>0.84699999999999998</v>
      </c>
      <c r="I181" t="s">
        <v>27</v>
      </c>
      <c r="J181" t="s">
        <v>66</v>
      </c>
    </row>
    <row r="182" spans="1:10" hidden="1">
      <c r="A182">
        <v>34</v>
      </c>
      <c r="B182">
        <v>2</v>
      </c>
      <c r="C182" t="s">
        <v>13</v>
      </c>
      <c r="D182" t="s">
        <v>25</v>
      </c>
      <c r="E182" t="s">
        <v>26</v>
      </c>
      <c r="F182">
        <f>VLOOKUP(E182,species_list!A$2:B$1194,2,FALSE)</f>
        <v>435</v>
      </c>
      <c r="G182">
        <v>5</v>
      </c>
      <c r="H182">
        <v>8.0510000000000002</v>
      </c>
      <c r="I182" t="s">
        <v>27</v>
      </c>
      <c r="J182" t="s">
        <v>66</v>
      </c>
    </row>
    <row r="183" spans="1:10" hidden="1">
      <c r="A183">
        <v>34</v>
      </c>
      <c r="B183">
        <v>2</v>
      </c>
      <c r="C183" t="s">
        <v>13</v>
      </c>
      <c r="D183" t="s">
        <v>25</v>
      </c>
      <c r="E183" t="s">
        <v>32</v>
      </c>
      <c r="F183">
        <f>VLOOKUP(E183,species_list!A$2:B$1194,2,FALSE)</f>
        <v>969</v>
      </c>
      <c r="G183" t="s">
        <v>25</v>
      </c>
      <c r="H183">
        <v>1E-3</v>
      </c>
      <c r="I183" t="s">
        <v>27</v>
      </c>
      <c r="J183" t="s">
        <v>66</v>
      </c>
    </row>
    <row r="184" spans="1:10" hidden="1">
      <c r="A184">
        <v>34</v>
      </c>
      <c r="B184">
        <v>2</v>
      </c>
      <c r="C184" t="s">
        <v>13</v>
      </c>
      <c r="D184" t="s">
        <v>25</v>
      </c>
      <c r="E184" t="s">
        <v>30</v>
      </c>
      <c r="F184">
        <f>VLOOKUP(E184,species_list!A$2:B$1194,2,FALSE)</f>
        <v>1000</v>
      </c>
      <c r="G184" t="s">
        <v>25</v>
      </c>
      <c r="H184">
        <v>1E-3</v>
      </c>
      <c r="I184" t="s">
        <v>27</v>
      </c>
      <c r="J184" t="s">
        <v>66</v>
      </c>
    </row>
    <row r="185" spans="1:10" hidden="1">
      <c r="A185">
        <v>34</v>
      </c>
      <c r="B185">
        <v>2</v>
      </c>
      <c r="C185" t="s">
        <v>13</v>
      </c>
      <c r="D185" t="s">
        <v>25</v>
      </c>
      <c r="E185" t="s">
        <v>68</v>
      </c>
      <c r="F185">
        <f>VLOOKUP(E185,species_list!A$2:B$1194,2,FALSE)</f>
        <v>982</v>
      </c>
      <c r="G185" t="s">
        <v>25</v>
      </c>
      <c r="H185">
        <v>1E-3</v>
      </c>
      <c r="I185" t="s">
        <v>27</v>
      </c>
      <c r="J185" t="s">
        <v>66</v>
      </c>
    </row>
    <row r="186" spans="1:10" hidden="1">
      <c r="A186">
        <v>34</v>
      </c>
      <c r="B186">
        <v>2</v>
      </c>
      <c r="C186" t="s">
        <v>13</v>
      </c>
      <c r="D186" t="s">
        <v>25</v>
      </c>
      <c r="E186" t="s">
        <v>51</v>
      </c>
      <c r="F186">
        <f>VLOOKUP(E186,species_list!A$2:B$1194,2,FALSE)</f>
        <v>189</v>
      </c>
      <c r="G186">
        <v>16</v>
      </c>
      <c r="H186">
        <v>5.3999999999999999E-2</v>
      </c>
      <c r="I186" t="s">
        <v>27</v>
      </c>
      <c r="J186" t="s">
        <v>66</v>
      </c>
    </row>
    <row r="187" spans="1:10" hidden="1">
      <c r="A187" s="17">
        <v>23</v>
      </c>
      <c r="B187" s="17">
        <v>1</v>
      </c>
      <c r="C187" s="18" t="s">
        <v>1249</v>
      </c>
      <c r="D187" t="s">
        <v>25</v>
      </c>
      <c r="E187" t="s">
        <v>26</v>
      </c>
      <c r="F187">
        <f>VLOOKUP(E187,[1]species_list!A$2:B$1194,2,FALSE)</f>
        <v>435</v>
      </c>
      <c r="G187">
        <v>1</v>
      </c>
      <c r="H187">
        <v>1.0999999999999999E-2</v>
      </c>
      <c r="I187" t="s">
        <v>1250</v>
      </c>
      <c r="J187" s="18" t="s">
        <v>1251</v>
      </c>
    </row>
    <row r="188" spans="1:10" hidden="1">
      <c r="A188" s="17">
        <v>23</v>
      </c>
      <c r="B188" s="17">
        <v>1</v>
      </c>
      <c r="C188" s="18" t="s">
        <v>1249</v>
      </c>
      <c r="D188" t="s">
        <v>25</v>
      </c>
      <c r="E188" t="s">
        <v>54</v>
      </c>
      <c r="F188">
        <f>VLOOKUP(E188,[1]species_list!A$2:B$1194,2,FALSE)</f>
        <v>740</v>
      </c>
      <c r="G188">
        <v>1</v>
      </c>
      <c r="H188">
        <v>2E-3</v>
      </c>
      <c r="I188" t="s">
        <v>1250</v>
      </c>
      <c r="J188" s="18" t="s">
        <v>1251</v>
      </c>
    </row>
    <row r="189" spans="1:10" hidden="1">
      <c r="A189" s="17">
        <v>23</v>
      </c>
      <c r="B189" s="17">
        <v>1</v>
      </c>
      <c r="C189" s="18" t="s">
        <v>1249</v>
      </c>
      <c r="D189" t="s">
        <v>25</v>
      </c>
      <c r="E189" t="s">
        <v>34</v>
      </c>
      <c r="F189">
        <f>VLOOKUP(E189,[1]species_list!A$2:B$1194,2,FALSE)</f>
        <v>732</v>
      </c>
      <c r="G189">
        <v>1</v>
      </c>
      <c r="H189">
        <v>1E-3</v>
      </c>
      <c r="I189" t="s">
        <v>1250</v>
      </c>
      <c r="J189" s="18" t="s">
        <v>1251</v>
      </c>
    </row>
    <row r="190" spans="1:10" hidden="1">
      <c r="A190" s="17">
        <v>23</v>
      </c>
      <c r="B190" s="17">
        <v>1</v>
      </c>
      <c r="C190" s="18" t="s">
        <v>1249</v>
      </c>
      <c r="D190" t="s">
        <v>25</v>
      </c>
      <c r="E190" t="s">
        <v>59</v>
      </c>
      <c r="F190">
        <f>VLOOKUP(E190,[1]species_list!A$2:B$1194,2,FALSE)</f>
        <v>380</v>
      </c>
      <c r="G190">
        <v>2</v>
      </c>
      <c r="H190">
        <v>3.0000000000000001E-3</v>
      </c>
      <c r="I190" t="s">
        <v>1250</v>
      </c>
      <c r="J190" s="18" t="s">
        <v>1251</v>
      </c>
    </row>
    <row r="191" spans="1:10" hidden="1">
      <c r="A191" s="17">
        <v>23</v>
      </c>
      <c r="B191" s="17">
        <v>1</v>
      </c>
      <c r="C191" s="18" t="s">
        <v>1249</v>
      </c>
      <c r="D191" t="s">
        <v>25</v>
      </c>
      <c r="E191" t="s">
        <v>44</v>
      </c>
      <c r="F191">
        <f>VLOOKUP(E191,[1]species_list!A$2:B$1194,2,FALSE)</f>
        <v>375</v>
      </c>
      <c r="G191">
        <v>279</v>
      </c>
      <c r="H191">
        <v>0.51600000000000001</v>
      </c>
      <c r="I191" t="s">
        <v>1250</v>
      </c>
      <c r="J191" s="18" t="s">
        <v>1251</v>
      </c>
    </row>
    <row r="192" spans="1:10" hidden="1">
      <c r="A192" s="17">
        <v>23</v>
      </c>
      <c r="B192" s="17">
        <v>2</v>
      </c>
      <c r="C192" s="18" t="s">
        <v>1252</v>
      </c>
      <c r="D192" t="s">
        <v>25</v>
      </c>
      <c r="E192" s="18" t="s">
        <v>64</v>
      </c>
      <c r="F192">
        <f>VLOOKUP(E192,[1]species_list!A$2:B$1194,2,FALSE)</f>
        <v>830</v>
      </c>
      <c r="G192">
        <v>2</v>
      </c>
      <c r="H192">
        <v>2E-3</v>
      </c>
      <c r="I192" t="s">
        <v>1250</v>
      </c>
      <c r="J192" s="18" t="s">
        <v>1251</v>
      </c>
    </row>
    <row r="193" spans="1:10" hidden="1">
      <c r="A193" s="17">
        <v>23</v>
      </c>
      <c r="B193" s="17">
        <v>2</v>
      </c>
      <c r="C193" s="18" t="s">
        <v>1252</v>
      </c>
      <c r="D193" t="s">
        <v>25</v>
      </c>
      <c r="E193" t="s">
        <v>44</v>
      </c>
      <c r="F193">
        <f>VLOOKUP(E193,[1]species_list!A$2:B$1194,2,FALSE)</f>
        <v>375</v>
      </c>
      <c r="G193">
        <v>235</v>
      </c>
      <c r="H193">
        <v>2.9689999999999999</v>
      </c>
      <c r="I193" t="s">
        <v>1250</v>
      </c>
      <c r="J193" s="18" t="s">
        <v>1251</v>
      </c>
    </row>
    <row r="194" spans="1:10" hidden="1">
      <c r="A194" s="17">
        <v>23</v>
      </c>
      <c r="B194" s="17">
        <v>3</v>
      </c>
      <c r="C194" s="18" t="s">
        <v>1253</v>
      </c>
      <c r="D194" t="s">
        <v>25</v>
      </c>
      <c r="E194" t="s">
        <v>44</v>
      </c>
      <c r="F194">
        <f>VLOOKUP(E194,[1]species_list!A$2:B$1194,2,FALSE)</f>
        <v>375</v>
      </c>
      <c r="G194">
        <v>196</v>
      </c>
      <c r="H194">
        <v>0.39</v>
      </c>
      <c r="I194" t="s">
        <v>1250</v>
      </c>
      <c r="J194" s="18" t="s">
        <v>1254</v>
      </c>
    </row>
    <row r="195" spans="1:10" hidden="1">
      <c r="A195" s="17">
        <v>23</v>
      </c>
      <c r="B195" s="17">
        <v>3</v>
      </c>
      <c r="C195" s="18" t="s">
        <v>1253</v>
      </c>
      <c r="D195" t="s">
        <v>25</v>
      </c>
      <c r="E195" t="s">
        <v>32</v>
      </c>
      <c r="F195">
        <f>VLOOKUP(E195,[1]species_list!A$2:B$1194,2,FALSE)</f>
        <v>969</v>
      </c>
      <c r="G195" t="s">
        <v>25</v>
      </c>
      <c r="H195" t="s">
        <v>25</v>
      </c>
      <c r="I195" t="s">
        <v>1250</v>
      </c>
      <c r="J195" s="18" t="s">
        <v>1254</v>
      </c>
    </row>
    <row r="196" spans="1:10" hidden="1">
      <c r="A196">
        <v>24</v>
      </c>
      <c r="B196">
        <v>2</v>
      </c>
      <c r="C196" s="18" t="s">
        <v>1255</v>
      </c>
      <c r="D196" t="s">
        <v>25</v>
      </c>
      <c r="E196" s="17" t="s">
        <v>589</v>
      </c>
      <c r="F196">
        <f>VLOOKUP(E196,[1]species_list!A$2:B$1194,2,FALSE)</f>
        <v>381</v>
      </c>
      <c r="G196">
        <v>1</v>
      </c>
      <c r="H196">
        <v>5.0000000000000001E-3</v>
      </c>
      <c r="I196" s="18" t="s">
        <v>1250</v>
      </c>
      <c r="J196" s="18" t="s">
        <v>1256</v>
      </c>
    </row>
    <row r="197" spans="1:10" hidden="1">
      <c r="A197">
        <v>24</v>
      </c>
      <c r="B197">
        <v>2</v>
      </c>
      <c r="C197" s="18" t="s">
        <v>1255</v>
      </c>
      <c r="D197" t="s">
        <v>25</v>
      </c>
      <c r="E197" t="s">
        <v>26</v>
      </c>
      <c r="F197">
        <f>VLOOKUP(E197,[1]species_list!A$2:B$1194,2,FALSE)</f>
        <v>435</v>
      </c>
      <c r="G197">
        <v>1</v>
      </c>
      <c r="H197">
        <v>0.17799999999999999</v>
      </c>
      <c r="I197" s="18" t="s">
        <v>1250</v>
      </c>
      <c r="J197" s="18" t="s">
        <v>1256</v>
      </c>
    </row>
    <row r="198" spans="1:10" hidden="1">
      <c r="A198">
        <v>24</v>
      </c>
      <c r="B198">
        <v>2</v>
      </c>
      <c r="C198" s="18" t="s">
        <v>1255</v>
      </c>
      <c r="D198" t="s">
        <v>25</v>
      </c>
      <c r="E198" t="s">
        <v>32</v>
      </c>
      <c r="F198">
        <f>VLOOKUP(E198,[1]species_list!A$2:B$1194,2,FALSE)</f>
        <v>969</v>
      </c>
      <c r="G198" t="s">
        <v>25</v>
      </c>
      <c r="H198" t="s">
        <v>25</v>
      </c>
      <c r="I198" s="18" t="s">
        <v>1250</v>
      </c>
      <c r="J198" s="18" t="s">
        <v>1256</v>
      </c>
    </row>
    <row r="199" spans="1:10" hidden="1">
      <c r="A199">
        <v>24</v>
      </c>
      <c r="B199">
        <v>2</v>
      </c>
      <c r="C199" s="18" t="s">
        <v>1255</v>
      </c>
      <c r="D199" t="s">
        <v>25</v>
      </c>
      <c r="E199" t="s">
        <v>68</v>
      </c>
      <c r="F199">
        <f>VLOOKUP(E199,[1]species_list!A$2:B$1194,2,FALSE)</f>
        <v>982</v>
      </c>
      <c r="G199" t="s">
        <v>25</v>
      </c>
      <c r="H199" t="s">
        <v>25</v>
      </c>
      <c r="I199" s="18" t="s">
        <v>1250</v>
      </c>
      <c r="J199" s="18" t="s">
        <v>1256</v>
      </c>
    </row>
    <row r="200" spans="1:10" hidden="1">
      <c r="A200">
        <v>24</v>
      </c>
      <c r="B200">
        <v>2</v>
      </c>
      <c r="C200" s="18" t="s">
        <v>1255</v>
      </c>
      <c r="D200" t="s">
        <v>25</v>
      </c>
      <c r="E200" t="s">
        <v>62</v>
      </c>
      <c r="F200">
        <f>VLOOKUP(E200,[1]species_list!A$2:B$1194,2,FALSE)</f>
        <v>996</v>
      </c>
      <c r="G200" s="18" t="s">
        <v>25</v>
      </c>
      <c r="H200" t="s">
        <v>25</v>
      </c>
      <c r="I200" s="18" t="s">
        <v>1250</v>
      </c>
      <c r="J200" s="18" t="s">
        <v>1256</v>
      </c>
    </row>
    <row r="201" spans="1:10" hidden="1">
      <c r="A201">
        <v>24</v>
      </c>
      <c r="B201">
        <v>2</v>
      </c>
      <c r="C201" s="18" t="s">
        <v>1255</v>
      </c>
      <c r="D201" t="s">
        <v>25</v>
      </c>
      <c r="E201" t="s">
        <v>44</v>
      </c>
      <c r="F201">
        <f>VLOOKUP(E201,[1]species_list!A$2:B$1194,2,FALSE)</f>
        <v>375</v>
      </c>
      <c r="G201">
        <v>154</v>
      </c>
      <c r="H201">
        <v>3.0129999999999999</v>
      </c>
      <c r="I201" s="18" t="s">
        <v>1250</v>
      </c>
      <c r="J201" s="18" t="s">
        <v>1256</v>
      </c>
    </row>
    <row r="202" spans="1:10" hidden="1">
      <c r="A202">
        <v>24</v>
      </c>
      <c r="B202">
        <v>1</v>
      </c>
      <c r="C202" s="18" t="s">
        <v>1257</v>
      </c>
      <c r="D202" t="s">
        <v>25</v>
      </c>
      <c r="E202" t="s">
        <v>29</v>
      </c>
      <c r="F202">
        <f>VLOOKUP(E202,[1]species_list!A$2:B$1194,2,FALSE)</f>
        <v>993</v>
      </c>
      <c r="G202" t="s">
        <v>25</v>
      </c>
      <c r="H202" t="s">
        <v>25</v>
      </c>
      <c r="I202" s="18" t="s">
        <v>1250</v>
      </c>
      <c r="J202" s="18" t="s">
        <v>1256</v>
      </c>
    </row>
    <row r="203" spans="1:10" hidden="1">
      <c r="A203">
        <v>24</v>
      </c>
      <c r="B203">
        <v>1</v>
      </c>
      <c r="C203" s="18" t="s">
        <v>1257</v>
      </c>
      <c r="D203" t="s">
        <v>25</v>
      </c>
      <c r="E203" t="s">
        <v>1258</v>
      </c>
      <c r="F203">
        <f>VLOOKUP(E203,[1]species_list!A$2:B$1194,2,FALSE)</f>
        <v>0</v>
      </c>
      <c r="G203" t="s">
        <v>25</v>
      </c>
      <c r="H203" t="s">
        <v>25</v>
      </c>
      <c r="I203" s="18" t="s">
        <v>1250</v>
      </c>
      <c r="J203" s="18" t="s">
        <v>1256</v>
      </c>
    </row>
    <row r="204" spans="1:10" hidden="1">
      <c r="A204">
        <v>24</v>
      </c>
      <c r="B204">
        <v>1</v>
      </c>
      <c r="C204" s="18" t="s">
        <v>1257</v>
      </c>
      <c r="D204" t="s">
        <v>25</v>
      </c>
      <c r="E204" s="18" t="s">
        <v>49</v>
      </c>
      <c r="F204">
        <f>VLOOKUP(E204,[1]species_list!A$2:B$1194,2,FALSE)</f>
        <v>6</v>
      </c>
      <c r="G204" s="18" t="s">
        <v>25</v>
      </c>
      <c r="H204" t="s">
        <v>25</v>
      </c>
      <c r="I204" s="18" t="s">
        <v>1250</v>
      </c>
      <c r="J204" s="18" t="s">
        <v>1256</v>
      </c>
    </row>
    <row r="205" spans="1:10" hidden="1">
      <c r="A205">
        <v>24</v>
      </c>
      <c r="B205">
        <v>1</v>
      </c>
      <c r="C205" s="18" t="s">
        <v>1257</v>
      </c>
      <c r="D205" t="s">
        <v>25</v>
      </c>
      <c r="E205" t="s">
        <v>62</v>
      </c>
      <c r="F205">
        <f>VLOOKUP(E205,[1]species_list!A$2:B$1194,2,FALSE)</f>
        <v>996</v>
      </c>
      <c r="G205" s="18" t="s">
        <v>25</v>
      </c>
      <c r="H205" t="s">
        <v>25</v>
      </c>
      <c r="I205" s="18" t="s">
        <v>1250</v>
      </c>
      <c r="J205" s="18" t="s">
        <v>1256</v>
      </c>
    </row>
    <row r="206" spans="1:10" hidden="1">
      <c r="A206">
        <v>24</v>
      </c>
      <c r="B206">
        <v>1</v>
      </c>
      <c r="C206" s="18" t="s">
        <v>1257</v>
      </c>
      <c r="D206" t="s">
        <v>25</v>
      </c>
      <c r="E206" s="18" t="s">
        <v>30</v>
      </c>
      <c r="F206">
        <f>VLOOKUP(E206,[1]species_list!A$2:B$1194,2,FALSE)</f>
        <v>1000</v>
      </c>
      <c r="G206" s="18" t="s">
        <v>25</v>
      </c>
      <c r="H206" t="s">
        <v>25</v>
      </c>
      <c r="I206" s="18" t="s">
        <v>1250</v>
      </c>
      <c r="J206" s="18" t="s">
        <v>1256</v>
      </c>
    </row>
    <row r="207" spans="1:10" hidden="1">
      <c r="A207">
        <v>24</v>
      </c>
      <c r="B207">
        <v>1</v>
      </c>
      <c r="C207" s="18" t="s">
        <v>1257</v>
      </c>
      <c r="D207" t="s">
        <v>25</v>
      </c>
      <c r="E207" t="s">
        <v>32</v>
      </c>
      <c r="F207">
        <f>VLOOKUP(E207,[1]species_list!A$2:B$1194,2,FALSE)</f>
        <v>969</v>
      </c>
      <c r="G207" t="s">
        <v>25</v>
      </c>
      <c r="H207" t="s">
        <v>25</v>
      </c>
      <c r="I207" s="18" t="s">
        <v>1250</v>
      </c>
      <c r="J207" s="18" t="s">
        <v>1256</v>
      </c>
    </row>
    <row r="208" spans="1:10" hidden="1">
      <c r="A208">
        <v>24</v>
      </c>
      <c r="B208">
        <v>1</v>
      </c>
      <c r="C208" s="18" t="s">
        <v>1257</v>
      </c>
      <c r="D208" t="s">
        <v>25</v>
      </c>
      <c r="E208" t="s">
        <v>26</v>
      </c>
      <c r="F208">
        <f>VLOOKUP(E208,[1]species_list!A$2:B$1194,2,FALSE)</f>
        <v>435</v>
      </c>
      <c r="G208">
        <v>6</v>
      </c>
      <c r="H208">
        <v>1.121</v>
      </c>
      <c r="I208" s="18" t="s">
        <v>1250</v>
      </c>
      <c r="J208" s="18" t="s">
        <v>1256</v>
      </c>
    </row>
    <row r="209" spans="1:10" hidden="1">
      <c r="A209">
        <v>24</v>
      </c>
      <c r="B209">
        <v>1</v>
      </c>
      <c r="C209" s="18" t="s">
        <v>1257</v>
      </c>
      <c r="D209" t="s">
        <v>25</v>
      </c>
      <c r="E209" t="s">
        <v>51</v>
      </c>
      <c r="F209">
        <f>VLOOKUP(E209,[1]species_list!A$2:B$1194,2,FALSE)</f>
        <v>189</v>
      </c>
      <c r="G209">
        <v>2</v>
      </c>
      <c r="H209">
        <v>4.0000000000000001E-3</v>
      </c>
      <c r="I209" s="18" t="s">
        <v>1250</v>
      </c>
      <c r="J209" s="18" t="s">
        <v>1256</v>
      </c>
    </row>
    <row r="210" spans="1:10" hidden="1">
      <c r="A210">
        <v>24</v>
      </c>
      <c r="B210">
        <v>1</v>
      </c>
      <c r="C210" s="18" t="s">
        <v>1257</v>
      </c>
      <c r="D210" t="s">
        <v>25</v>
      </c>
      <c r="E210" s="18" t="s">
        <v>64</v>
      </c>
      <c r="F210">
        <f>VLOOKUP(E210,[1]species_list!A$2:B$1194,2,FALSE)</f>
        <v>830</v>
      </c>
      <c r="G210">
        <v>1</v>
      </c>
      <c r="H210">
        <v>1E-3</v>
      </c>
      <c r="I210" s="18" t="s">
        <v>1250</v>
      </c>
      <c r="J210" s="18" t="s">
        <v>1256</v>
      </c>
    </row>
    <row r="211" spans="1:10" hidden="1">
      <c r="A211">
        <v>24</v>
      </c>
      <c r="B211">
        <v>1</v>
      </c>
      <c r="C211" s="18" t="s">
        <v>1257</v>
      </c>
      <c r="D211" t="s">
        <v>25</v>
      </c>
      <c r="E211" s="17" t="s">
        <v>589</v>
      </c>
      <c r="F211">
        <f>VLOOKUP(E211,[1]species_list!A$2:B$1194,2,FALSE)</f>
        <v>381</v>
      </c>
      <c r="G211">
        <v>1</v>
      </c>
      <c r="H211">
        <v>8.9999999999999993E-3</v>
      </c>
      <c r="I211" s="18" t="s">
        <v>1250</v>
      </c>
      <c r="J211" s="18" t="s">
        <v>1256</v>
      </c>
    </row>
    <row r="212" spans="1:10" hidden="1">
      <c r="A212">
        <v>24</v>
      </c>
      <c r="B212">
        <v>1</v>
      </c>
      <c r="C212" s="18" t="s">
        <v>1257</v>
      </c>
      <c r="D212" t="s">
        <v>25</v>
      </c>
      <c r="E212" t="s">
        <v>44</v>
      </c>
      <c r="F212">
        <f>VLOOKUP(E212,[1]species_list!A$2:B$1194,2,FALSE)</f>
        <v>375</v>
      </c>
      <c r="G212">
        <v>579</v>
      </c>
      <c r="H212">
        <v>1.607</v>
      </c>
      <c r="I212" s="18" t="s">
        <v>1250</v>
      </c>
      <c r="J212" s="18" t="s">
        <v>1256</v>
      </c>
    </row>
    <row r="213" spans="1:10" hidden="1">
      <c r="A213">
        <v>24</v>
      </c>
      <c r="B213">
        <v>3</v>
      </c>
      <c r="C213" s="18" t="s">
        <v>1259</v>
      </c>
      <c r="D213" t="s">
        <v>25</v>
      </c>
      <c r="E213" t="s">
        <v>26</v>
      </c>
      <c r="F213">
        <f>VLOOKUP(E213,[1]species_list!A$2:B$1194,2,FALSE)</f>
        <v>435</v>
      </c>
      <c r="G213">
        <v>4</v>
      </c>
      <c r="H213">
        <v>5.8000000000000003E-2</v>
      </c>
      <c r="I213" s="18" t="s">
        <v>1250</v>
      </c>
      <c r="J213" s="18" t="s">
        <v>1260</v>
      </c>
    </row>
    <row r="214" spans="1:10" hidden="1">
      <c r="A214">
        <v>24</v>
      </c>
      <c r="B214">
        <v>3</v>
      </c>
      <c r="C214" s="18" t="s">
        <v>1259</v>
      </c>
      <c r="D214" t="s">
        <v>25</v>
      </c>
      <c r="E214" s="18" t="s">
        <v>51</v>
      </c>
      <c r="F214">
        <f>VLOOKUP(E214,[1]species_list!A$2:B$1194,2,FALSE)</f>
        <v>189</v>
      </c>
      <c r="G214">
        <v>1</v>
      </c>
      <c r="H214">
        <v>2E-3</v>
      </c>
      <c r="I214" s="18" t="s">
        <v>1250</v>
      </c>
      <c r="J214" s="18" t="s">
        <v>1260</v>
      </c>
    </row>
    <row r="215" spans="1:10" hidden="1">
      <c r="A215">
        <v>24</v>
      </c>
      <c r="B215">
        <v>3</v>
      </c>
      <c r="C215" s="18" t="s">
        <v>1259</v>
      </c>
      <c r="D215" t="s">
        <v>25</v>
      </c>
      <c r="E215" t="s">
        <v>43</v>
      </c>
      <c r="F215">
        <f>VLOOKUP(E215,[1]species_list!A$2:B$1194,2,FALSE)</f>
        <v>457</v>
      </c>
      <c r="G215">
        <v>2</v>
      </c>
      <c r="H215">
        <v>2E-3</v>
      </c>
      <c r="I215" s="18" t="s">
        <v>1250</v>
      </c>
      <c r="J215" s="18" t="s">
        <v>1260</v>
      </c>
    </row>
    <row r="216" spans="1:10" hidden="1">
      <c r="A216">
        <v>24</v>
      </c>
      <c r="B216">
        <v>3</v>
      </c>
      <c r="C216" s="18" t="s">
        <v>1259</v>
      </c>
      <c r="D216" t="s">
        <v>25</v>
      </c>
      <c r="E216" s="17" t="s">
        <v>34</v>
      </c>
      <c r="F216">
        <f>VLOOKUP(E216,[1]species_list!A$2:B$1194,2,FALSE)</f>
        <v>732</v>
      </c>
      <c r="G216">
        <v>1</v>
      </c>
      <c r="H216">
        <v>3.0000000000000001E-3</v>
      </c>
      <c r="I216" s="18" t="s">
        <v>1250</v>
      </c>
      <c r="J216" s="18" t="s">
        <v>1260</v>
      </c>
    </row>
    <row r="217" spans="1:10" hidden="1">
      <c r="A217">
        <v>24</v>
      </c>
      <c r="B217">
        <v>3</v>
      </c>
      <c r="C217" s="18" t="s">
        <v>1259</v>
      </c>
      <c r="D217" t="s">
        <v>25</v>
      </c>
      <c r="E217" t="s">
        <v>36</v>
      </c>
      <c r="F217">
        <f>VLOOKUP(E217,[1]species_list!A$2:B$1194,2,FALSE)</f>
        <v>642</v>
      </c>
      <c r="G217">
        <v>2</v>
      </c>
      <c r="H217">
        <v>2.1999999999999999E-2</v>
      </c>
      <c r="I217" s="18" t="s">
        <v>1250</v>
      </c>
      <c r="J217" s="18" t="s">
        <v>1260</v>
      </c>
    </row>
    <row r="218" spans="1:10" hidden="1">
      <c r="A218">
        <v>24</v>
      </c>
      <c r="B218">
        <v>3</v>
      </c>
      <c r="C218" s="18" t="s">
        <v>1259</v>
      </c>
      <c r="D218" t="s">
        <v>25</v>
      </c>
      <c r="E218" t="s">
        <v>62</v>
      </c>
      <c r="F218">
        <f>VLOOKUP(E218,[1]species_list!A$2:B$1194,2,FALSE)</f>
        <v>996</v>
      </c>
      <c r="G218" s="18" t="s">
        <v>25</v>
      </c>
      <c r="H218" t="s">
        <v>25</v>
      </c>
      <c r="I218" s="18" t="s">
        <v>1250</v>
      </c>
      <c r="J218" s="18" t="s">
        <v>1260</v>
      </c>
    </row>
    <row r="219" spans="1:10" hidden="1">
      <c r="A219">
        <v>24</v>
      </c>
      <c r="B219">
        <v>3</v>
      </c>
      <c r="C219" s="18" t="s">
        <v>1259</v>
      </c>
      <c r="D219" t="s">
        <v>25</v>
      </c>
      <c r="E219" t="s">
        <v>44</v>
      </c>
      <c r="F219">
        <f>VLOOKUP(E219,[1]species_list!A$2:B$1194,2,FALSE)</f>
        <v>375</v>
      </c>
      <c r="G219">
        <v>382</v>
      </c>
      <c r="H219">
        <v>3.5579999999999998</v>
      </c>
      <c r="I219" s="18" t="s">
        <v>1250</v>
      </c>
      <c r="J219" s="18" t="s">
        <v>1260</v>
      </c>
    </row>
    <row r="220" spans="1:10" hidden="1">
      <c r="A220">
        <v>24</v>
      </c>
      <c r="B220">
        <v>3</v>
      </c>
      <c r="C220" s="18" t="s">
        <v>1259</v>
      </c>
      <c r="D220" t="s">
        <v>25</v>
      </c>
      <c r="E220" t="s">
        <v>32</v>
      </c>
      <c r="F220">
        <f>VLOOKUP(E220,[1]species_list!A$2:B$1194,2,FALSE)</f>
        <v>969</v>
      </c>
      <c r="G220" t="s">
        <v>25</v>
      </c>
      <c r="H220" t="s">
        <v>25</v>
      </c>
      <c r="I220" s="18" t="s">
        <v>1250</v>
      </c>
      <c r="J220" s="18" t="s">
        <v>1260</v>
      </c>
    </row>
    <row r="221" spans="1:10" hidden="1">
      <c r="A221">
        <v>24</v>
      </c>
      <c r="B221">
        <v>3</v>
      </c>
      <c r="C221" s="18" t="s">
        <v>1259</v>
      </c>
      <c r="D221" t="s">
        <v>25</v>
      </c>
      <c r="E221" t="s">
        <v>1258</v>
      </c>
      <c r="F221">
        <f>VLOOKUP(E221,[1]species_list!A$2:B$1194,2,FALSE)</f>
        <v>0</v>
      </c>
      <c r="G221" t="s">
        <v>25</v>
      </c>
      <c r="H221" t="s">
        <v>25</v>
      </c>
      <c r="I221" s="18" t="s">
        <v>1250</v>
      </c>
      <c r="J221" s="18" t="s">
        <v>1260</v>
      </c>
    </row>
    <row r="222" spans="1:10" hidden="1">
      <c r="A222">
        <v>24</v>
      </c>
      <c r="B222">
        <v>3</v>
      </c>
      <c r="C222" s="18" t="s">
        <v>1259</v>
      </c>
      <c r="D222" t="s">
        <v>25</v>
      </c>
      <c r="E222" t="s">
        <v>68</v>
      </c>
      <c r="F222">
        <f>VLOOKUP(E222,[1]species_list!A$2:B$1194,2,FALSE)</f>
        <v>982</v>
      </c>
      <c r="G222" t="s">
        <v>25</v>
      </c>
      <c r="H222" t="s">
        <v>25</v>
      </c>
      <c r="I222" s="18" t="s">
        <v>1250</v>
      </c>
      <c r="J222" s="18" t="s">
        <v>1260</v>
      </c>
    </row>
    <row r="223" spans="1:10" hidden="1">
      <c r="A223" s="17">
        <v>25</v>
      </c>
      <c r="B223" s="17">
        <v>1</v>
      </c>
      <c r="C223" s="18" t="s">
        <v>1261</v>
      </c>
      <c r="D223" t="s">
        <v>25</v>
      </c>
      <c r="E223" t="s">
        <v>43</v>
      </c>
      <c r="F223">
        <f>VLOOKUP(E223,[1]species_list!A$2:B$1194,2,FALSE)</f>
        <v>457</v>
      </c>
      <c r="G223">
        <v>15</v>
      </c>
      <c r="H223">
        <v>10.254</v>
      </c>
      <c r="I223" t="s">
        <v>1250</v>
      </c>
      <c r="J223" s="18" t="s">
        <v>1251</v>
      </c>
    </row>
    <row r="224" spans="1:10" hidden="1">
      <c r="A224" s="17">
        <v>25</v>
      </c>
      <c r="B224" s="17">
        <v>1</v>
      </c>
      <c r="C224" s="18" t="s">
        <v>1261</v>
      </c>
      <c r="D224" t="s">
        <v>25</v>
      </c>
      <c r="E224" t="s">
        <v>26</v>
      </c>
      <c r="F224">
        <f>VLOOKUP(E224,[1]species_list!A$2:B$1194,2,FALSE)</f>
        <v>435</v>
      </c>
      <c r="G224">
        <v>1</v>
      </c>
      <c r="H224">
        <v>0.40899999999999997</v>
      </c>
      <c r="I224" t="s">
        <v>1250</v>
      </c>
      <c r="J224" s="18" t="s">
        <v>1251</v>
      </c>
    </row>
    <row r="225" spans="1:10" hidden="1">
      <c r="A225" s="17">
        <v>25</v>
      </c>
      <c r="B225" s="17">
        <v>1</v>
      </c>
      <c r="C225" s="18" t="s">
        <v>1261</v>
      </c>
      <c r="D225" t="s">
        <v>25</v>
      </c>
      <c r="E225" t="s">
        <v>35</v>
      </c>
      <c r="F225">
        <f>VLOOKUP(E225,[1]species_list!A$2:B$1194,2,FALSE)</f>
        <v>709</v>
      </c>
      <c r="G225">
        <v>1</v>
      </c>
      <c r="H225">
        <v>8.0000000000000002E-3</v>
      </c>
      <c r="I225" t="s">
        <v>1250</v>
      </c>
      <c r="J225" s="18" t="s">
        <v>1251</v>
      </c>
    </row>
    <row r="226" spans="1:10" hidden="1">
      <c r="A226" s="17">
        <v>25</v>
      </c>
      <c r="B226" s="17">
        <v>1</v>
      </c>
      <c r="C226" s="18" t="s">
        <v>1261</v>
      </c>
      <c r="D226" t="s">
        <v>25</v>
      </c>
      <c r="E226" s="17" t="s">
        <v>40</v>
      </c>
      <c r="F226">
        <f>VLOOKUP(E226,[1]species_list!A$2:B$1194,2,FALSE)</f>
        <v>829</v>
      </c>
      <c r="G226" s="17">
        <v>1</v>
      </c>
      <c r="H226">
        <v>2E-3</v>
      </c>
      <c r="I226" s="18" t="s">
        <v>1250</v>
      </c>
      <c r="J226" s="18" t="s">
        <v>1251</v>
      </c>
    </row>
    <row r="227" spans="1:10" hidden="1">
      <c r="A227" s="17">
        <v>25</v>
      </c>
      <c r="B227" s="17">
        <v>1</v>
      </c>
      <c r="C227" s="18" t="s">
        <v>1261</v>
      </c>
      <c r="D227" t="s">
        <v>25</v>
      </c>
      <c r="E227" t="s">
        <v>44</v>
      </c>
      <c r="F227">
        <f>VLOOKUP(E227,[1]species_list!A$2:B$1194,2,FALSE)</f>
        <v>375</v>
      </c>
      <c r="G227" s="17">
        <v>224</v>
      </c>
      <c r="H227">
        <v>0.69499999999999995</v>
      </c>
      <c r="I227" s="18" t="s">
        <v>1250</v>
      </c>
      <c r="J227" s="18" t="s">
        <v>1251</v>
      </c>
    </row>
    <row r="228" spans="1:10" hidden="1">
      <c r="A228" s="17">
        <v>25</v>
      </c>
      <c r="B228" s="17">
        <v>2</v>
      </c>
      <c r="C228" s="18" t="s">
        <v>1262</v>
      </c>
      <c r="D228" t="s">
        <v>25</v>
      </c>
      <c r="E228" s="17" t="s">
        <v>43</v>
      </c>
      <c r="F228">
        <f>VLOOKUP(E228,[1]species_list!A$2:B$1194,2,FALSE)</f>
        <v>457</v>
      </c>
      <c r="G228" s="17">
        <v>16</v>
      </c>
      <c r="H228">
        <v>7.4269999999999996</v>
      </c>
      <c r="I228" s="18" t="s">
        <v>1250</v>
      </c>
      <c r="J228" s="18" t="s">
        <v>1251</v>
      </c>
    </row>
    <row r="229" spans="1:10" hidden="1">
      <c r="A229" s="17">
        <v>25</v>
      </c>
      <c r="B229" s="17">
        <v>2</v>
      </c>
      <c r="C229" s="18" t="s">
        <v>1262</v>
      </c>
      <c r="D229" t="s">
        <v>25</v>
      </c>
      <c r="E229" t="s">
        <v>44</v>
      </c>
      <c r="F229">
        <f>VLOOKUP(E229,[1]species_list!A$2:B$1194,2,FALSE)</f>
        <v>375</v>
      </c>
      <c r="G229" s="17">
        <v>435</v>
      </c>
      <c r="H229">
        <v>0.876</v>
      </c>
      <c r="I229" s="18" t="s">
        <v>1250</v>
      </c>
      <c r="J229" s="18" t="s">
        <v>1251</v>
      </c>
    </row>
    <row r="230" spans="1:10" hidden="1">
      <c r="A230" s="17">
        <v>25</v>
      </c>
      <c r="B230" s="17">
        <v>2</v>
      </c>
      <c r="C230" s="18" t="s">
        <v>1262</v>
      </c>
      <c r="D230" t="s">
        <v>25</v>
      </c>
      <c r="E230" s="17" t="s">
        <v>589</v>
      </c>
      <c r="F230">
        <f>VLOOKUP(E230,[1]species_list!A$2:B$1194,2,FALSE)</f>
        <v>381</v>
      </c>
      <c r="G230" s="17">
        <v>1</v>
      </c>
      <c r="H230">
        <v>7.0000000000000001E-3</v>
      </c>
      <c r="I230" s="18" t="s">
        <v>1250</v>
      </c>
      <c r="J230" s="18" t="s">
        <v>1251</v>
      </c>
    </row>
    <row r="231" spans="1:10" hidden="1">
      <c r="A231" s="17">
        <v>25</v>
      </c>
      <c r="B231" s="17">
        <v>2</v>
      </c>
      <c r="C231" s="18" t="s">
        <v>1262</v>
      </c>
      <c r="D231" t="s">
        <v>25</v>
      </c>
      <c r="E231" t="s">
        <v>55</v>
      </c>
      <c r="F231">
        <f>VLOOKUP(E231,[1]species_list!A$2:B$1194,2,FALSE)</f>
        <v>718</v>
      </c>
      <c r="G231" s="17">
        <v>1</v>
      </c>
      <c r="H231">
        <v>2.1000000000000001E-2</v>
      </c>
      <c r="I231" s="18" t="s">
        <v>1250</v>
      </c>
      <c r="J231" s="18" t="s">
        <v>1251</v>
      </c>
    </row>
    <row r="232" spans="1:10" hidden="1">
      <c r="A232" s="17">
        <v>25</v>
      </c>
      <c r="B232" s="17">
        <v>3</v>
      </c>
      <c r="C232" s="18" t="s">
        <v>1263</v>
      </c>
      <c r="D232" t="s">
        <v>25</v>
      </c>
      <c r="E232" t="s">
        <v>26</v>
      </c>
      <c r="F232">
        <f>VLOOKUP(E232,[1]species_list!A$2:B$1194,2,FALSE)</f>
        <v>435</v>
      </c>
      <c r="G232" s="17">
        <v>2</v>
      </c>
      <c r="H232">
        <v>0.66800000000000004</v>
      </c>
      <c r="I232" s="18" t="s">
        <v>1250</v>
      </c>
      <c r="J232" s="18" t="s">
        <v>1264</v>
      </c>
    </row>
    <row r="233" spans="1:10" hidden="1">
      <c r="A233" s="17">
        <v>25</v>
      </c>
      <c r="B233" s="17">
        <v>3</v>
      </c>
      <c r="C233" s="18" t="s">
        <v>1263</v>
      </c>
      <c r="D233" t="s">
        <v>25</v>
      </c>
      <c r="E233" s="17" t="s">
        <v>589</v>
      </c>
      <c r="F233">
        <f>VLOOKUP(E233,[1]species_list!A$2:B$1194,2,FALSE)</f>
        <v>381</v>
      </c>
      <c r="G233" s="17">
        <v>1</v>
      </c>
      <c r="H233">
        <v>1E-3</v>
      </c>
      <c r="I233" s="18" t="s">
        <v>1250</v>
      </c>
      <c r="J233" s="18" t="s">
        <v>1264</v>
      </c>
    </row>
    <row r="234" spans="1:10" hidden="1">
      <c r="A234" s="17">
        <v>25</v>
      </c>
      <c r="B234" s="17">
        <v>3</v>
      </c>
      <c r="C234" s="18" t="s">
        <v>1263</v>
      </c>
      <c r="D234" t="s">
        <v>25</v>
      </c>
      <c r="E234" t="s">
        <v>55</v>
      </c>
      <c r="F234">
        <f>VLOOKUP(E234,[1]species_list!A$2:B$1194,2,FALSE)</f>
        <v>718</v>
      </c>
      <c r="G234" s="17">
        <v>1</v>
      </c>
      <c r="H234">
        <v>1E-3</v>
      </c>
      <c r="I234" s="18" t="s">
        <v>1250</v>
      </c>
      <c r="J234" s="18" t="s">
        <v>1264</v>
      </c>
    </row>
    <row r="235" spans="1:10" hidden="1">
      <c r="A235" s="17">
        <v>25</v>
      </c>
      <c r="B235" s="17">
        <v>3</v>
      </c>
      <c r="C235" s="18" t="s">
        <v>1263</v>
      </c>
      <c r="D235" t="s">
        <v>25</v>
      </c>
      <c r="E235" s="19" t="s">
        <v>29</v>
      </c>
      <c r="F235">
        <f>VLOOKUP(E235,[1]species_list!A$2:B$1194,2,FALSE)</f>
        <v>993</v>
      </c>
      <c r="G235" s="17" t="s">
        <v>25</v>
      </c>
      <c r="H235" s="18" t="s">
        <v>25</v>
      </c>
      <c r="I235" s="18" t="s">
        <v>1250</v>
      </c>
      <c r="J235" s="18" t="s">
        <v>1264</v>
      </c>
    </row>
    <row r="236" spans="1:10" hidden="1">
      <c r="A236" s="17">
        <v>25</v>
      </c>
      <c r="B236" s="17">
        <v>3</v>
      </c>
      <c r="C236" s="18" t="s">
        <v>1263</v>
      </c>
      <c r="D236" t="s">
        <v>25</v>
      </c>
      <c r="E236" s="17" t="s">
        <v>32</v>
      </c>
      <c r="F236">
        <f>VLOOKUP(E236,[1]species_list!A$2:B$1194,2,FALSE)</f>
        <v>969</v>
      </c>
      <c r="G236" s="17" t="s">
        <v>25</v>
      </c>
      <c r="H236" s="18" t="s">
        <v>25</v>
      </c>
      <c r="I236" s="18" t="s">
        <v>1250</v>
      </c>
      <c r="J236" s="18" t="s">
        <v>1264</v>
      </c>
    </row>
    <row r="237" spans="1:10" hidden="1">
      <c r="A237" s="17">
        <v>25</v>
      </c>
      <c r="B237" s="17">
        <v>3</v>
      </c>
      <c r="C237" s="18" t="s">
        <v>1263</v>
      </c>
      <c r="D237" t="s">
        <v>25</v>
      </c>
      <c r="E237" s="17" t="s">
        <v>1244</v>
      </c>
      <c r="F237">
        <f>VLOOKUP(E237,[1]species_list!A$2:B$1194,2,FALSE)</f>
        <v>997</v>
      </c>
      <c r="G237" s="17" t="s">
        <v>25</v>
      </c>
      <c r="H237" s="18" t="s">
        <v>25</v>
      </c>
      <c r="I237" s="18" t="s">
        <v>1250</v>
      </c>
      <c r="J237" s="18" t="s">
        <v>1264</v>
      </c>
    </row>
    <row r="238" spans="1:10" hidden="1">
      <c r="A238" s="17">
        <v>25</v>
      </c>
      <c r="B238" s="17">
        <v>3</v>
      </c>
      <c r="C238" s="18" t="s">
        <v>1263</v>
      </c>
      <c r="D238" t="s">
        <v>25</v>
      </c>
      <c r="E238" t="s">
        <v>1234</v>
      </c>
      <c r="F238">
        <f>VLOOKUP(E238,[1]species_list!A$2:B$1194,2,FALSE)</f>
        <v>986</v>
      </c>
      <c r="G238" s="17" t="s">
        <v>25</v>
      </c>
      <c r="H238" s="18" t="s">
        <v>25</v>
      </c>
      <c r="I238" s="18" t="s">
        <v>1250</v>
      </c>
      <c r="J238" s="18" t="s">
        <v>1264</v>
      </c>
    </row>
    <row r="239" spans="1:10" hidden="1">
      <c r="A239" s="17">
        <v>25</v>
      </c>
      <c r="B239" s="17">
        <v>3</v>
      </c>
      <c r="C239" s="18" t="s">
        <v>1263</v>
      </c>
      <c r="D239" t="s">
        <v>25</v>
      </c>
      <c r="E239" t="s">
        <v>44</v>
      </c>
      <c r="F239">
        <f>VLOOKUP(E239,[1]species_list!A$2:B$1194,2,FALSE)</f>
        <v>375</v>
      </c>
      <c r="G239" s="17">
        <v>525</v>
      </c>
      <c r="H239">
        <v>0.91200000000000003</v>
      </c>
      <c r="I239" s="18" t="s">
        <v>1250</v>
      </c>
      <c r="J239" s="18" t="s">
        <v>1264</v>
      </c>
    </row>
    <row r="240" spans="1:10" hidden="1">
      <c r="A240" s="17">
        <v>25</v>
      </c>
      <c r="B240" s="17">
        <v>3</v>
      </c>
      <c r="C240" s="18" t="s">
        <v>1263</v>
      </c>
      <c r="D240" t="s">
        <v>25</v>
      </c>
      <c r="E240" s="17" t="s">
        <v>43</v>
      </c>
      <c r="F240">
        <f>VLOOKUP(E240,[1]species_list!A$2:B$1194,2,FALSE)</f>
        <v>457</v>
      </c>
      <c r="G240" s="17">
        <v>16</v>
      </c>
      <c r="H240">
        <v>7.3890000000000002</v>
      </c>
      <c r="I240" s="18" t="s">
        <v>1250</v>
      </c>
      <c r="J240" s="18" t="s">
        <v>1264</v>
      </c>
    </row>
    <row r="241" spans="1:10" hidden="1">
      <c r="A241" s="17">
        <v>25</v>
      </c>
      <c r="B241" s="17">
        <v>3</v>
      </c>
      <c r="C241" s="18" t="s">
        <v>1263</v>
      </c>
      <c r="D241" t="s">
        <v>25</v>
      </c>
      <c r="E241" s="17" t="s">
        <v>59</v>
      </c>
      <c r="F241">
        <f>VLOOKUP(E241,[1]species_list!A$2:B$1194,2,FALSE)</f>
        <v>380</v>
      </c>
      <c r="G241" s="17">
        <v>2</v>
      </c>
      <c r="H241">
        <v>8.9999999999999993E-3</v>
      </c>
      <c r="I241" s="18" t="s">
        <v>1250</v>
      </c>
      <c r="J241" s="18" t="s">
        <v>1264</v>
      </c>
    </row>
    <row r="242" spans="1:10" hidden="1">
      <c r="A242">
        <v>31</v>
      </c>
      <c r="B242">
        <v>3</v>
      </c>
      <c r="C242" s="18" t="s">
        <v>1265</v>
      </c>
      <c r="D242" t="s">
        <v>25</v>
      </c>
      <c r="E242" t="s">
        <v>43</v>
      </c>
      <c r="F242">
        <f>VLOOKUP(E242,[1]species_list!A$2:B$1194,2,FALSE)</f>
        <v>457</v>
      </c>
      <c r="G242">
        <v>27</v>
      </c>
      <c r="H242">
        <v>0.17799999999999999</v>
      </c>
      <c r="I242" s="18" t="s">
        <v>1250</v>
      </c>
      <c r="J242" s="18" t="s">
        <v>1266</v>
      </c>
    </row>
    <row r="243" spans="1:10" hidden="1">
      <c r="A243">
        <v>31</v>
      </c>
      <c r="B243">
        <v>3</v>
      </c>
      <c r="C243" s="18" t="s">
        <v>1265</v>
      </c>
      <c r="D243" t="s">
        <v>25</v>
      </c>
      <c r="E243" s="18" t="s">
        <v>51</v>
      </c>
      <c r="F243">
        <f>VLOOKUP(E243,[1]species_list!A$2:B$1194,2,FALSE)</f>
        <v>189</v>
      </c>
      <c r="G243">
        <v>4</v>
      </c>
      <c r="H243">
        <v>7.0000000000000001E-3</v>
      </c>
      <c r="I243" s="18" t="s">
        <v>1250</v>
      </c>
      <c r="J243" s="18" t="s">
        <v>1266</v>
      </c>
    </row>
    <row r="244" spans="1:10" hidden="1">
      <c r="A244">
        <v>31</v>
      </c>
      <c r="B244">
        <v>3</v>
      </c>
      <c r="C244" s="18" t="s">
        <v>1265</v>
      </c>
      <c r="D244" t="s">
        <v>25</v>
      </c>
      <c r="E244" t="s">
        <v>52</v>
      </c>
      <c r="F244">
        <f>VLOOKUP(E244,[1]species_list!A$2:B$1194,2,FALSE)</f>
        <v>157</v>
      </c>
      <c r="G244" s="17">
        <v>2</v>
      </c>
      <c r="H244">
        <v>3.0000000000000001E-3</v>
      </c>
      <c r="I244" s="18" t="s">
        <v>1250</v>
      </c>
      <c r="J244" s="18" t="s">
        <v>1266</v>
      </c>
    </row>
    <row r="245" spans="1:10" hidden="1">
      <c r="A245">
        <v>31</v>
      </c>
      <c r="B245">
        <v>3</v>
      </c>
      <c r="C245" s="18" t="s">
        <v>1265</v>
      </c>
      <c r="D245" t="s">
        <v>25</v>
      </c>
      <c r="E245" t="s">
        <v>72</v>
      </c>
      <c r="F245">
        <f>VLOOKUP(E245,[1]species_list!A$2:B$1194,2,FALSE)</f>
        <v>376</v>
      </c>
      <c r="G245">
        <v>2</v>
      </c>
      <c r="H245">
        <v>2E-3</v>
      </c>
      <c r="I245" s="18" t="s">
        <v>1250</v>
      </c>
      <c r="J245" s="18" t="s">
        <v>1266</v>
      </c>
    </row>
    <row r="246" spans="1:10" hidden="1">
      <c r="A246">
        <v>31</v>
      </c>
      <c r="B246">
        <v>3</v>
      </c>
      <c r="C246" s="18" t="s">
        <v>1265</v>
      </c>
      <c r="D246" t="s">
        <v>25</v>
      </c>
      <c r="E246" t="s">
        <v>44</v>
      </c>
      <c r="F246">
        <f>VLOOKUP(E246,[1]species_list!A$2:B$1194,2,FALSE)</f>
        <v>375</v>
      </c>
      <c r="G246">
        <v>4</v>
      </c>
      <c r="H246">
        <v>5.0000000000000001E-3</v>
      </c>
      <c r="I246" s="18" t="s">
        <v>1250</v>
      </c>
      <c r="J246" s="18" t="s">
        <v>1266</v>
      </c>
    </row>
    <row r="247" spans="1:10" hidden="1">
      <c r="A247">
        <v>31</v>
      </c>
      <c r="B247">
        <v>3</v>
      </c>
      <c r="C247" s="18" t="s">
        <v>1265</v>
      </c>
      <c r="D247" t="s">
        <v>25</v>
      </c>
      <c r="E247" t="s">
        <v>32</v>
      </c>
      <c r="F247">
        <f>VLOOKUP(E247,[1]species_list!A$2:B$1194,2,FALSE)</f>
        <v>969</v>
      </c>
      <c r="G247" t="s">
        <v>25</v>
      </c>
      <c r="H247">
        <v>5.0999999999999997E-2</v>
      </c>
      <c r="I247" s="18" t="s">
        <v>1250</v>
      </c>
      <c r="J247" s="18" t="s">
        <v>1266</v>
      </c>
    </row>
    <row r="248" spans="1:10" hidden="1">
      <c r="A248">
        <v>31</v>
      </c>
      <c r="B248">
        <v>3</v>
      </c>
      <c r="C248" s="18" t="s">
        <v>1265</v>
      </c>
      <c r="D248" t="s">
        <v>25</v>
      </c>
      <c r="E248" s="17" t="s">
        <v>34</v>
      </c>
      <c r="F248">
        <f>VLOOKUP(E248,[1]species_list!A$2:B$1194,2,FALSE)</f>
        <v>732</v>
      </c>
      <c r="G248">
        <v>1</v>
      </c>
      <c r="H248">
        <v>1E-3</v>
      </c>
      <c r="I248" s="18" t="s">
        <v>1250</v>
      </c>
      <c r="J248" s="18" t="s">
        <v>1266</v>
      </c>
    </row>
    <row r="249" spans="1:10" hidden="1">
      <c r="A249">
        <v>31</v>
      </c>
      <c r="B249">
        <v>3</v>
      </c>
      <c r="C249" s="18" t="s">
        <v>1265</v>
      </c>
      <c r="D249" t="s">
        <v>25</v>
      </c>
      <c r="E249" s="18" t="s">
        <v>1267</v>
      </c>
      <c r="F249" t="e">
        <f>VLOOKUP(E249,[1]species_list!A$2:B$1194,2,FALSE)</f>
        <v>#N/A</v>
      </c>
      <c r="G249" s="18" t="s">
        <v>25</v>
      </c>
      <c r="H249" s="18" t="s">
        <v>25</v>
      </c>
      <c r="I249" s="18" t="s">
        <v>1250</v>
      </c>
      <c r="J249" s="18" t="s">
        <v>1266</v>
      </c>
    </row>
    <row r="250" spans="1:10" hidden="1">
      <c r="A250">
        <v>31</v>
      </c>
      <c r="B250">
        <v>3</v>
      </c>
      <c r="C250" s="18" t="s">
        <v>1265</v>
      </c>
      <c r="D250" t="s">
        <v>25</v>
      </c>
      <c r="E250" t="s">
        <v>29</v>
      </c>
      <c r="F250">
        <f>VLOOKUP(E250,[1]species_list!A$2:B$1194,2,FALSE)</f>
        <v>993</v>
      </c>
      <c r="G250" t="s">
        <v>25</v>
      </c>
      <c r="H250">
        <v>24.9</v>
      </c>
      <c r="I250" s="18" t="s">
        <v>1250</v>
      </c>
      <c r="J250" s="18" t="s">
        <v>1266</v>
      </c>
    </row>
    <row r="251" spans="1:10" hidden="1">
      <c r="A251">
        <v>31</v>
      </c>
      <c r="B251">
        <v>3</v>
      </c>
      <c r="C251" s="18" t="s">
        <v>1265</v>
      </c>
      <c r="D251" t="s">
        <v>25</v>
      </c>
      <c r="E251" s="18" t="s">
        <v>59</v>
      </c>
      <c r="F251">
        <f>VLOOKUP(E251,[1]species_list!A$2:B$1194,2,FALSE)</f>
        <v>380</v>
      </c>
      <c r="G251">
        <v>4</v>
      </c>
      <c r="H251">
        <v>0.54600000000000004</v>
      </c>
      <c r="I251" s="18" t="s">
        <v>1250</v>
      </c>
      <c r="J251" s="18" t="s">
        <v>1266</v>
      </c>
    </row>
    <row r="252" spans="1:10" hidden="1">
      <c r="A252">
        <v>31</v>
      </c>
      <c r="B252">
        <v>3</v>
      </c>
      <c r="C252" s="18" t="s">
        <v>1265</v>
      </c>
      <c r="D252" t="s">
        <v>25</v>
      </c>
      <c r="E252" s="18" t="s">
        <v>64</v>
      </c>
      <c r="F252">
        <f>VLOOKUP(E252,[1]species_list!A$2:B$1194,2,FALSE)</f>
        <v>830</v>
      </c>
      <c r="G252">
        <v>2</v>
      </c>
      <c r="H252">
        <v>1E-3</v>
      </c>
      <c r="I252" s="18" t="s">
        <v>1250</v>
      </c>
      <c r="J252" s="18" t="s">
        <v>1266</v>
      </c>
    </row>
    <row r="253" spans="1:10" hidden="1">
      <c r="A253">
        <v>31</v>
      </c>
      <c r="B253">
        <v>1</v>
      </c>
      <c r="C253" s="18" t="s">
        <v>1268</v>
      </c>
      <c r="D253" t="s">
        <v>25</v>
      </c>
      <c r="E253" s="18" t="s">
        <v>59</v>
      </c>
      <c r="F253">
        <f>VLOOKUP(E253,[1]species_list!A$2:B$1194,2,FALSE)</f>
        <v>380</v>
      </c>
      <c r="G253">
        <v>8</v>
      </c>
      <c r="H253">
        <v>0.75800000000000001</v>
      </c>
      <c r="I253" s="18" t="s">
        <v>1250</v>
      </c>
      <c r="J253" s="18" t="s">
        <v>1269</v>
      </c>
    </row>
    <row r="254" spans="1:10" hidden="1">
      <c r="A254">
        <v>31</v>
      </c>
      <c r="B254">
        <v>1</v>
      </c>
      <c r="C254" s="18" t="s">
        <v>1268</v>
      </c>
      <c r="D254" t="s">
        <v>25</v>
      </c>
      <c r="E254" t="s">
        <v>43</v>
      </c>
      <c r="F254">
        <f>VLOOKUP(E254,[1]species_list!A$2:B$1194,2,FALSE)</f>
        <v>457</v>
      </c>
      <c r="G254">
        <v>26</v>
      </c>
      <c r="H254">
        <v>0.161</v>
      </c>
      <c r="I254" s="18" t="s">
        <v>1250</v>
      </c>
      <c r="J254" s="18" t="s">
        <v>1269</v>
      </c>
    </row>
    <row r="255" spans="1:10" hidden="1">
      <c r="A255">
        <v>31</v>
      </c>
      <c r="B255">
        <v>1</v>
      </c>
      <c r="C255" s="18" t="s">
        <v>1268</v>
      </c>
      <c r="D255" t="s">
        <v>25</v>
      </c>
      <c r="E255" t="s">
        <v>29</v>
      </c>
      <c r="F255">
        <f>VLOOKUP(E255,[1]species_list!A$2:B$1194,2,FALSE)</f>
        <v>993</v>
      </c>
      <c r="G255" t="s">
        <v>25</v>
      </c>
      <c r="H255">
        <v>103.2</v>
      </c>
      <c r="I255" s="18" t="s">
        <v>1250</v>
      </c>
      <c r="J255" s="18" t="s">
        <v>1269</v>
      </c>
    </row>
    <row r="256" spans="1:10" hidden="1">
      <c r="A256">
        <v>31</v>
      </c>
      <c r="B256">
        <v>1</v>
      </c>
      <c r="C256" s="18" t="s">
        <v>1268</v>
      </c>
      <c r="D256" t="s">
        <v>25</v>
      </c>
      <c r="E256" t="s">
        <v>62</v>
      </c>
      <c r="F256">
        <f>VLOOKUP(E256,[1]species_list!A$2:B$1194,2,FALSE)</f>
        <v>996</v>
      </c>
      <c r="G256" s="18" t="s">
        <v>25</v>
      </c>
      <c r="H256">
        <v>8.9999999999999993E-3</v>
      </c>
      <c r="I256" s="18" t="s">
        <v>1250</v>
      </c>
      <c r="J256" s="18" t="s">
        <v>1269</v>
      </c>
    </row>
    <row r="257" spans="1:10" hidden="1">
      <c r="A257">
        <v>31</v>
      </c>
      <c r="B257">
        <v>1</v>
      </c>
      <c r="C257" s="18" t="s">
        <v>1268</v>
      </c>
      <c r="D257" t="s">
        <v>25</v>
      </c>
      <c r="E257" t="s">
        <v>44</v>
      </c>
      <c r="F257">
        <f>VLOOKUP(E257,[1]species_list!A$2:B$1194,2,FALSE)</f>
        <v>375</v>
      </c>
      <c r="G257">
        <v>29</v>
      </c>
      <c r="H257">
        <v>7.0000000000000007E-2</v>
      </c>
      <c r="I257" s="18" t="s">
        <v>1250</v>
      </c>
      <c r="J257" s="18" t="s">
        <v>1269</v>
      </c>
    </row>
    <row r="258" spans="1:10" hidden="1">
      <c r="A258">
        <v>31</v>
      </c>
      <c r="B258">
        <v>1</v>
      </c>
      <c r="C258" s="18" t="s">
        <v>1268</v>
      </c>
      <c r="D258" t="s">
        <v>25</v>
      </c>
      <c r="E258" t="s">
        <v>72</v>
      </c>
      <c r="F258">
        <f>VLOOKUP(E258,[1]species_list!A$2:B$1194,2,FALSE)</f>
        <v>376</v>
      </c>
      <c r="G258">
        <v>1</v>
      </c>
      <c r="H258">
        <v>1E-3</v>
      </c>
      <c r="I258" s="18" t="s">
        <v>1250</v>
      </c>
      <c r="J258" s="18" t="s">
        <v>1269</v>
      </c>
    </row>
    <row r="259" spans="1:10" hidden="1">
      <c r="A259">
        <v>31</v>
      </c>
      <c r="B259">
        <v>1</v>
      </c>
      <c r="C259" s="18" t="s">
        <v>1268</v>
      </c>
      <c r="D259" t="s">
        <v>25</v>
      </c>
      <c r="E259" s="18" t="s">
        <v>1270</v>
      </c>
      <c r="F259" t="e">
        <f>VLOOKUP(E259,[1]species_list!A$2:B$1194,2,FALSE)</f>
        <v>#N/A</v>
      </c>
      <c r="G259">
        <v>25</v>
      </c>
      <c r="H259">
        <v>2.8000000000000001E-2</v>
      </c>
      <c r="I259" s="18" t="s">
        <v>1250</v>
      </c>
      <c r="J259" s="18" t="s">
        <v>1269</v>
      </c>
    </row>
    <row r="260" spans="1:10" hidden="1">
      <c r="A260">
        <v>31</v>
      </c>
      <c r="B260">
        <v>2</v>
      </c>
      <c r="C260" s="18" t="s">
        <v>1271</v>
      </c>
      <c r="D260" t="s">
        <v>25</v>
      </c>
      <c r="E260" t="s">
        <v>59</v>
      </c>
      <c r="F260">
        <f>VLOOKUP(E260,[1]species_list!A$2:B$1194,2,FALSE)</f>
        <v>380</v>
      </c>
      <c r="G260">
        <v>1</v>
      </c>
      <c r="H260">
        <v>0.16400000000000001</v>
      </c>
      <c r="I260" s="18" t="s">
        <v>1250</v>
      </c>
      <c r="J260" s="18" t="s">
        <v>1272</v>
      </c>
    </row>
    <row r="261" spans="1:10" hidden="1">
      <c r="A261">
        <v>31</v>
      </c>
      <c r="B261">
        <v>2</v>
      </c>
      <c r="C261" s="18" t="s">
        <v>1271</v>
      </c>
      <c r="D261" t="s">
        <v>25</v>
      </c>
      <c r="E261" s="17" t="s">
        <v>589</v>
      </c>
      <c r="F261">
        <f>VLOOKUP(E261,[1]species_list!A$2:B$1194,2,FALSE)</f>
        <v>381</v>
      </c>
      <c r="G261">
        <v>1</v>
      </c>
      <c r="H261">
        <v>6.9000000000000006E-2</v>
      </c>
      <c r="I261" s="18" t="s">
        <v>1250</v>
      </c>
      <c r="J261" s="18" t="s">
        <v>1272</v>
      </c>
    </row>
    <row r="262" spans="1:10" hidden="1">
      <c r="A262">
        <v>31</v>
      </c>
      <c r="B262">
        <v>2</v>
      </c>
      <c r="C262" s="18" t="s">
        <v>1271</v>
      </c>
      <c r="D262" t="s">
        <v>25</v>
      </c>
      <c r="E262" t="s">
        <v>44</v>
      </c>
      <c r="F262">
        <f>VLOOKUP(E262,[1]species_list!A$2:B$1194,2,FALSE)</f>
        <v>375</v>
      </c>
      <c r="G262">
        <v>4</v>
      </c>
      <c r="H262">
        <v>6.0000000000000001E-3</v>
      </c>
      <c r="I262" s="18" t="s">
        <v>1250</v>
      </c>
      <c r="J262" s="18" t="s">
        <v>1272</v>
      </c>
    </row>
    <row r="263" spans="1:10" hidden="1">
      <c r="A263">
        <v>31</v>
      </c>
      <c r="B263">
        <v>2</v>
      </c>
      <c r="C263" s="18" t="s">
        <v>1271</v>
      </c>
      <c r="D263" t="s">
        <v>25</v>
      </c>
      <c r="E263" s="18" t="s">
        <v>49</v>
      </c>
      <c r="F263">
        <f>VLOOKUP(E263,[1]species_list!A$2:B$1194,2,FALSE)</f>
        <v>6</v>
      </c>
      <c r="G263" s="18" t="s">
        <v>25</v>
      </c>
      <c r="H263" s="18" t="s">
        <v>25</v>
      </c>
      <c r="I263" s="18" t="s">
        <v>1250</v>
      </c>
      <c r="J263" s="18" t="s">
        <v>1272</v>
      </c>
    </row>
    <row r="264" spans="1:10" hidden="1">
      <c r="A264">
        <v>31</v>
      </c>
      <c r="B264">
        <v>2</v>
      </c>
      <c r="C264" s="18" t="s">
        <v>1271</v>
      </c>
      <c r="D264" t="s">
        <v>25</v>
      </c>
      <c r="E264" s="18" t="s">
        <v>760</v>
      </c>
      <c r="F264">
        <f>VLOOKUP(E264,[1]species_list!A$2:B$1194,2,FALSE)</f>
        <v>54</v>
      </c>
      <c r="G264" s="18" t="s">
        <v>25</v>
      </c>
      <c r="H264" s="18" t="s">
        <v>25</v>
      </c>
      <c r="I264" s="18" t="s">
        <v>1250</v>
      </c>
      <c r="J264" s="18" t="s">
        <v>1272</v>
      </c>
    </row>
    <row r="265" spans="1:10" hidden="1">
      <c r="A265">
        <v>31</v>
      </c>
      <c r="B265">
        <v>2</v>
      </c>
      <c r="C265" s="18" t="s">
        <v>1271</v>
      </c>
      <c r="D265" t="s">
        <v>25</v>
      </c>
      <c r="E265" s="18" t="s">
        <v>47</v>
      </c>
      <c r="F265">
        <f>VLOOKUP(E265,[1]species_list!A$2:B$1194,2,FALSE)</f>
        <v>250</v>
      </c>
      <c r="G265">
        <v>1</v>
      </c>
      <c r="H265">
        <v>0.51700000000000002</v>
      </c>
      <c r="I265" s="18" t="s">
        <v>1250</v>
      </c>
      <c r="J265" s="18" t="s">
        <v>1272</v>
      </c>
    </row>
    <row r="266" spans="1:10" hidden="1">
      <c r="A266" s="17">
        <v>32</v>
      </c>
      <c r="B266" s="17">
        <v>2</v>
      </c>
      <c r="C266" s="18" t="s">
        <v>1273</v>
      </c>
      <c r="D266" t="s">
        <v>25</v>
      </c>
      <c r="E266" t="s">
        <v>26</v>
      </c>
      <c r="F266">
        <f>VLOOKUP(E266,[1]species_list!A$2:B$1194,2,FALSE)</f>
        <v>435</v>
      </c>
      <c r="G266" s="17">
        <v>1</v>
      </c>
      <c r="H266">
        <v>1.28</v>
      </c>
      <c r="I266" s="18" t="s">
        <v>1250</v>
      </c>
      <c r="J266" s="18" t="s">
        <v>1274</v>
      </c>
    </row>
    <row r="267" spans="1:10" hidden="1">
      <c r="A267" s="17">
        <v>32</v>
      </c>
      <c r="B267" s="17">
        <v>2</v>
      </c>
      <c r="C267" s="18" t="s">
        <v>1273</v>
      </c>
      <c r="D267" t="s">
        <v>25</v>
      </c>
      <c r="E267" s="17" t="s">
        <v>47</v>
      </c>
      <c r="F267">
        <f>VLOOKUP(E267,[1]species_list!A$2:B$1194,2,FALSE)</f>
        <v>250</v>
      </c>
      <c r="G267" s="17">
        <v>1</v>
      </c>
      <c r="H267">
        <v>0.41699999999999998</v>
      </c>
      <c r="I267" s="18" t="s">
        <v>1250</v>
      </c>
      <c r="J267" s="18" t="s">
        <v>1274</v>
      </c>
    </row>
    <row r="268" spans="1:10" hidden="1">
      <c r="A268" s="17">
        <v>32</v>
      </c>
      <c r="B268" s="17">
        <v>2</v>
      </c>
      <c r="C268" s="18" t="s">
        <v>1273</v>
      </c>
      <c r="D268" t="s">
        <v>25</v>
      </c>
      <c r="E268" s="17" t="s">
        <v>37</v>
      </c>
      <c r="F268">
        <f>VLOOKUP(E268,[1]species_list!A$2:B$1194,2,FALSE)</f>
        <v>615</v>
      </c>
      <c r="G268" s="17">
        <v>4</v>
      </c>
      <c r="H268">
        <v>0.02</v>
      </c>
      <c r="I268" s="18" t="s">
        <v>1250</v>
      </c>
      <c r="J268" s="18" t="s">
        <v>1274</v>
      </c>
    </row>
    <row r="269" spans="1:10" hidden="1">
      <c r="A269" s="17">
        <v>32</v>
      </c>
      <c r="B269" s="17">
        <v>2</v>
      </c>
      <c r="C269" s="18" t="s">
        <v>1273</v>
      </c>
      <c r="D269" t="s">
        <v>25</v>
      </c>
      <c r="E269" t="s">
        <v>40</v>
      </c>
      <c r="F269">
        <f>VLOOKUP(E269,[1]species_list!A$2:B$1194,2,FALSE)</f>
        <v>829</v>
      </c>
      <c r="G269" s="17">
        <v>1</v>
      </c>
      <c r="H269">
        <v>2E-3</v>
      </c>
      <c r="I269" s="18" t="s">
        <v>1250</v>
      </c>
      <c r="J269" s="18" t="s">
        <v>1274</v>
      </c>
    </row>
    <row r="270" spans="1:10" hidden="1">
      <c r="A270" s="17">
        <v>32</v>
      </c>
      <c r="B270" s="17">
        <v>2</v>
      </c>
      <c r="C270" s="18" t="s">
        <v>1273</v>
      </c>
      <c r="D270" t="s">
        <v>25</v>
      </c>
      <c r="E270" s="17" t="s">
        <v>34</v>
      </c>
      <c r="F270">
        <f>VLOOKUP(E270,[1]species_list!A$2:B$1194,2,FALSE)</f>
        <v>732</v>
      </c>
      <c r="G270" s="17">
        <v>6</v>
      </c>
      <c r="H270">
        <v>3.0000000000000001E-3</v>
      </c>
      <c r="I270" s="18" t="s">
        <v>1250</v>
      </c>
      <c r="J270" s="18" t="s">
        <v>1274</v>
      </c>
    </row>
    <row r="271" spans="1:10" hidden="1">
      <c r="A271" s="17">
        <v>32</v>
      </c>
      <c r="B271" s="17">
        <v>2</v>
      </c>
      <c r="C271" s="18" t="s">
        <v>1273</v>
      </c>
      <c r="D271" t="s">
        <v>25</v>
      </c>
      <c r="E271" s="17" t="s">
        <v>42</v>
      </c>
      <c r="F271">
        <f>VLOOKUP(E271,[1]species_list!A$2:B$1194,2,FALSE)</f>
        <v>826</v>
      </c>
      <c r="G271" s="17">
        <v>1</v>
      </c>
      <c r="H271">
        <v>3.0000000000000001E-3</v>
      </c>
      <c r="I271" s="18" t="s">
        <v>1250</v>
      </c>
      <c r="J271" s="18" t="s">
        <v>1274</v>
      </c>
    </row>
    <row r="272" spans="1:10" hidden="1">
      <c r="A272" s="17">
        <v>32</v>
      </c>
      <c r="B272" s="17">
        <v>2</v>
      </c>
      <c r="C272" s="18" t="s">
        <v>1273</v>
      </c>
      <c r="D272" t="s">
        <v>25</v>
      </c>
      <c r="E272" s="19" t="s">
        <v>38</v>
      </c>
      <c r="F272">
        <f>VLOOKUP(E272,[1]species_list!A$2:B$1194,2,FALSE)</f>
        <v>784</v>
      </c>
      <c r="G272" s="17">
        <v>1</v>
      </c>
      <c r="H272">
        <v>2E-3</v>
      </c>
      <c r="I272" s="18" t="s">
        <v>1250</v>
      </c>
      <c r="J272" s="18" t="s">
        <v>1274</v>
      </c>
    </row>
    <row r="273" spans="1:10" hidden="1">
      <c r="A273" s="17">
        <v>32</v>
      </c>
      <c r="B273" s="17">
        <v>2</v>
      </c>
      <c r="C273" s="18" t="s">
        <v>1273</v>
      </c>
      <c r="D273" t="s">
        <v>25</v>
      </c>
      <c r="E273" t="s">
        <v>44</v>
      </c>
      <c r="F273">
        <f>VLOOKUP(E273,[1]species_list!A$2:B$1194,2,FALSE)</f>
        <v>375</v>
      </c>
      <c r="G273" s="17">
        <v>279</v>
      </c>
      <c r="H273">
        <v>0.503</v>
      </c>
      <c r="I273" s="18" t="s">
        <v>1250</v>
      </c>
      <c r="J273" s="18" t="s">
        <v>1274</v>
      </c>
    </row>
    <row r="274" spans="1:10" hidden="1">
      <c r="A274">
        <v>34</v>
      </c>
      <c r="B274">
        <v>1</v>
      </c>
      <c r="C274" s="18" t="s">
        <v>1275</v>
      </c>
      <c r="D274" t="s">
        <v>25</v>
      </c>
      <c r="E274" t="s">
        <v>63</v>
      </c>
      <c r="F274">
        <f>VLOOKUP(E274,[1]species_list!A$2:B$1194,2,FALSE)</f>
        <v>374</v>
      </c>
      <c r="G274">
        <v>3</v>
      </c>
      <c r="H274" s="18">
        <v>4.2999999999999997E-2</v>
      </c>
      <c r="I274" s="18" t="s">
        <v>1250</v>
      </c>
      <c r="J274" s="18" t="s">
        <v>1276</v>
      </c>
    </row>
    <row r="275" spans="1:10" hidden="1">
      <c r="A275">
        <v>34</v>
      </c>
      <c r="B275">
        <v>1</v>
      </c>
      <c r="C275" s="18" t="s">
        <v>1275</v>
      </c>
      <c r="D275" t="s">
        <v>25</v>
      </c>
      <c r="E275" t="s">
        <v>59</v>
      </c>
      <c r="F275">
        <f>VLOOKUP(E275,[1]species_list!A$2:B$1194,2,FALSE)</f>
        <v>380</v>
      </c>
      <c r="G275">
        <v>16</v>
      </c>
      <c r="H275">
        <v>4.0679999999999996</v>
      </c>
      <c r="I275" s="18" t="s">
        <v>1250</v>
      </c>
      <c r="J275" s="18" t="s">
        <v>1276</v>
      </c>
    </row>
    <row r="276" spans="1:10" hidden="1">
      <c r="A276">
        <v>34</v>
      </c>
      <c r="B276">
        <v>1</v>
      </c>
      <c r="C276" s="18" t="s">
        <v>1275</v>
      </c>
      <c r="D276" t="s">
        <v>25</v>
      </c>
      <c r="E276" s="17" t="s">
        <v>589</v>
      </c>
      <c r="F276">
        <f>VLOOKUP(E276,[1]species_list!A$2:B$1194,2,FALSE)</f>
        <v>381</v>
      </c>
      <c r="G276">
        <v>1</v>
      </c>
      <c r="H276" s="18">
        <v>2.5000000000000001E-2</v>
      </c>
      <c r="I276" s="18" t="s">
        <v>1250</v>
      </c>
      <c r="J276" s="18" t="s">
        <v>1276</v>
      </c>
    </row>
    <row r="277" spans="1:10" hidden="1">
      <c r="A277">
        <v>34</v>
      </c>
      <c r="B277">
        <v>1</v>
      </c>
      <c r="C277" s="18" t="s">
        <v>1275</v>
      </c>
      <c r="D277" t="s">
        <v>25</v>
      </c>
      <c r="E277" t="s">
        <v>56</v>
      </c>
      <c r="F277">
        <f>VLOOKUP(E277,[1]species_list!A$2:B$1194,2,FALSE)</f>
        <v>379</v>
      </c>
      <c r="G277">
        <v>1</v>
      </c>
      <c r="H277">
        <v>2.5000000000000001E-2</v>
      </c>
      <c r="I277" s="18" t="s">
        <v>1250</v>
      </c>
      <c r="J277" s="18" t="s">
        <v>1276</v>
      </c>
    </row>
    <row r="278" spans="1:10" hidden="1">
      <c r="A278">
        <v>34</v>
      </c>
      <c r="B278">
        <v>1</v>
      </c>
      <c r="C278" s="18" t="s">
        <v>1275</v>
      </c>
      <c r="D278" t="s">
        <v>25</v>
      </c>
      <c r="E278" t="s">
        <v>61</v>
      </c>
      <c r="F278">
        <f>VLOOKUP(E278,[1]species_list!A$2:B$1194,2,FALSE)</f>
        <v>373</v>
      </c>
      <c r="G278">
        <v>3</v>
      </c>
      <c r="H278" s="18">
        <v>8.0000000000000002E-3</v>
      </c>
      <c r="I278" s="18" t="s">
        <v>1250</v>
      </c>
      <c r="J278" s="18" t="s">
        <v>1276</v>
      </c>
    </row>
    <row r="279" spans="1:10" hidden="1">
      <c r="A279">
        <v>34</v>
      </c>
      <c r="B279">
        <v>1</v>
      </c>
      <c r="C279" s="18" t="s">
        <v>1275</v>
      </c>
      <c r="D279" t="s">
        <v>25</v>
      </c>
      <c r="E279" t="s">
        <v>26</v>
      </c>
      <c r="F279">
        <f>VLOOKUP(E279,[1]species_list!A$2:B$1194,2,FALSE)</f>
        <v>435</v>
      </c>
      <c r="G279">
        <v>11</v>
      </c>
      <c r="H279">
        <v>11.778</v>
      </c>
      <c r="I279" s="18" t="s">
        <v>1250</v>
      </c>
      <c r="J279" s="18" t="s">
        <v>1276</v>
      </c>
    </row>
    <row r="280" spans="1:10" hidden="1">
      <c r="A280">
        <v>34</v>
      </c>
      <c r="B280">
        <v>1</v>
      </c>
      <c r="C280" s="18" t="s">
        <v>1275</v>
      </c>
      <c r="D280" t="s">
        <v>25</v>
      </c>
      <c r="E280" s="18" t="s">
        <v>51</v>
      </c>
      <c r="F280">
        <f>VLOOKUP(E280,[1]species_list!A$2:B$1194,2,FALSE)</f>
        <v>189</v>
      </c>
      <c r="G280">
        <v>34</v>
      </c>
      <c r="H280" s="18">
        <v>0.1</v>
      </c>
      <c r="I280" s="18" t="s">
        <v>1250</v>
      </c>
      <c r="J280" s="18" t="s">
        <v>1276</v>
      </c>
    </row>
    <row r="281" spans="1:10" hidden="1">
      <c r="A281">
        <v>34</v>
      </c>
      <c r="B281">
        <v>1</v>
      </c>
      <c r="C281" s="18" t="s">
        <v>1275</v>
      </c>
      <c r="D281" t="s">
        <v>25</v>
      </c>
      <c r="E281" t="s">
        <v>65</v>
      </c>
      <c r="F281">
        <f>VLOOKUP(E281,[1]species_list!A$2:B$1194,2,FALSE)</f>
        <v>261</v>
      </c>
      <c r="G281">
        <v>1</v>
      </c>
      <c r="H281">
        <v>3.0000000000000001E-3</v>
      </c>
      <c r="I281" s="18" t="s">
        <v>1250</v>
      </c>
      <c r="J281" s="18" t="s">
        <v>1276</v>
      </c>
    </row>
    <row r="282" spans="1:10" hidden="1">
      <c r="A282">
        <v>34</v>
      </c>
      <c r="B282">
        <v>1</v>
      </c>
      <c r="C282" s="18" t="s">
        <v>1275</v>
      </c>
      <c r="D282" t="s">
        <v>25</v>
      </c>
      <c r="E282" t="s">
        <v>358</v>
      </c>
      <c r="F282">
        <f>VLOOKUP(E282,[1]species_list!A$2:B$1194,2,FALSE)</f>
        <v>163</v>
      </c>
      <c r="G282">
        <v>2</v>
      </c>
      <c r="H282" s="18">
        <v>0.02</v>
      </c>
      <c r="I282" s="18" t="s">
        <v>1250</v>
      </c>
      <c r="J282" s="18" t="s">
        <v>1276</v>
      </c>
    </row>
    <row r="283" spans="1:10" hidden="1">
      <c r="A283">
        <v>34</v>
      </c>
      <c r="B283">
        <v>1</v>
      </c>
      <c r="C283" s="18" t="s">
        <v>1275</v>
      </c>
      <c r="D283" t="s">
        <v>25</v>
      </c>
      <c r="E283" t="s">
        <v>62</v>
      </c>
      <c r="F283">
        <f>VLOOKUP(E283,[1]species_list!A$2:B$1194,2,FALSE)</f>
        <v>996</v>
      </c>
      <c r="G283" s="18" t="s">
        <v>25</v>
      </c>
      <c r="H283" t="s">
        <v>25</v>
      </c>
      <c r="I283" s="18" t="s">
        <v>1250</v>
      </c>
      <c r="J283" s="18" t="s">
        <v>1276</v>
      </c>
    </row>
    <row r="284" spans="1:10" hidden="1">
      <c r="A284">
        <v>34</v>
      </c>
      <c r="B284">
        <v>1</v>
      </c>
      <c r="C284" s="18" t="s">
        <v>1275</v>
      </c>
      <c r="D284" t="s">
        <v>25</v>
      </c>
      <c r="E284" t="s">
        <v>32</v>
      </c>
      <c r="F284">
        <f>VLOOKUP(E284,[1]species_list!A$2:B$1194,2,FALSE)</f>
        <v>969</v>
      </c>
      <c r="G284" s="18" t="s">
        <v>25</v>
      </c>
      <c r="H284" t="s">
        <v>25</v>
      </c>
      <c r="I284" s="18" t="s">
        <v>1250</v>
      </c>
      <c r="J284" s="18" t="s">
        <v>1276</v>
      </c>
    </row>
    <row r="285" spans="1:10" hidden="1">
      <c r="A285">
        <v>34</v>
      </c>
      <c r="B285">
        <v>1</v>
      </c>
      <c r="C285" s="18" t="s">
        <v>1275</v>
      </c>
      <c r="D285" t="s">
        <v>25</v>
      </c>
      <c r="E285" s="18" t="s">
        <v>30</v>
      </c>
      <c r="F285">
        <f>VLOOKUP(E285,[1]species_list!A$2:B$1194,2,FALSE)</f>
        <v>1000</v>
      </c>
      <c r="G285" s="18" t="s">
        <v>25</v>
      </c>
      <c r="H285" t="s">
        <v>25</v>
      </c>
      <c r="I285" s="18" t="s">
        <v>1250</v>
      </c>
      <c r="J285" s="18" t="s">
        <v>1276</v>
      </c>
    </row>
    <row r="286" spans="1:10" hidden="1">
      <c r="A286">
        <v>34</v>
      </c>
      <c r="B286">
        <v>1</v>
      </c>
      <c r="C286" s="18" t="s">
        <v>1275</v>
      </c>
      <c r="D286" t="s">
        <v>25</v>
      </c>
      <c r="E286" t="s">
        <v>68</v>
      </c>
      <c r="F286">
        <f>VLOOKUP(E286,[1]species_list!A$2:B$1194,2,FALSE)</f>
        <v>982</v>
      </c>
      <c r="G286" s="18" t="s">
        <v>25</v>
      </c>
      <c r="H286" t="s">
        <v>25</v>
      </c>
      <c r="I286" s="18" t="s">
        <v>1250</v>
      </c>
      <c r="J286" s="18" t="s">
        <v>1276</v>
      </c>
    </row>
    <row r="287" spans="1:10" hidden="1">
      <c r="A287">
        <v>34</v>
      </c>
      <c r="B287">
        <v>1</v>
      </c>
      <c r="C287" s="18" t="s">
        <v>1275</v>
      </c>
      <c r="D287" t="s">
        <v>25</v>
      </c>
      <c r="E287" t="s">
        <v>1233</v>
      </c>
      <c r="F287">
        <f>VLOOKUP(E287,[1]species_list!A$2:B$1194,2,FALSE)</f>
        <v>984</v>
      </c>
      <c r="G287" s="18" t="s">
        <v>25</v>
      </c>
      <c r="H287" t="s">
        <v>25</v>
      </c>
      <c r="I287" s="18" t="s">
        <v>1250</v>
      </c>
      <c r="J287" s="18" t="s">
        <v>1276</v>
      </c>
    </row>
    <row r="288" spans="1:10" hidden="1">
      <c r="A288">
        <v>34</v>
      </c>
      <c r="B288">
        <v>1</v>
      </c>
      <c r="C288" s="18" t="s">
        <v>1275</v>
      </c>
      <c r="D288" t="s">
        <v>25</v>
      </c>
      <c r="E288" t="s">
        <v>44</v>
      </c>
      <c r="F288">
        <f>VLOOKUP(E288,[1]species_list!A$2:B$1194,2,FALSE)</f>
        <v>375</v>
      </c>
      <c r="G288">
        <v>239</v>
      </c>
      <c r="H288">
        <v>100</v>
      </c>
      <c r="I288" s="18" t="s">
        <v>1250</v>
      </c>
      <c r="J288" s="18" t="s">
        <v>1276</v>
      </c>
    </row>
    <row r="289" spans="1:10" hidden="1">
      <c r="A289">
        <v>34</v>
      </c>
      <c r="B289">
        <v>1</v>
      </c>
      <c r="C289" s="18" t="s">
        <v>1275</v>
      </c>
      <c r="D289" t="s">
        <v>25</v>
      </c>
      <c r="E289" t="s">
        <v>43</v>
      </c>
      <c r="F289">
        <f>VLOOKUP(E289,[1]species_list!A$2:B$1194,2,FALSE)</f>
        <v>457</v>
      </c>
      <c r="G289">
        <v>915</v>
      </c>
      <c r="H289">
        <v>3.0779999999999998</v>
      </c>
      <c r="I289" s="18" t="s">
        <v>1250</v>
      </c>
      <c r="J289" s="18" t="s">
        <v>1276</v>
      </c>
    </row>
    <row r="290" spans="1:10" hidden="1">
      <c r="A290">
        <v>34</v>
      </c>
      <c r="B290">
        <v>1</v>
      </c>
      <c r="C290" s="18" t="s">
        <v>1275</v>
      </c>
      <c r="D290" t="s">
        <v>25</v>
      </c>
      <c r="E290" t="s">
        <v>67</v>
      </c>
      <c r="F290">
        <f>VLOOKUP(E290,[1]species_list!A$2:B$1194,2,FALSE)</f>
        <v>383</v>
      </c>
      <c r="G290">
        <v>1</v>
      </c>
      <c r="H290">
        <v>2E-3</v>
      </c>
      <c r="I290" s="18" t="s">
        <v>1250</v>
      </c>
      <c r="J290" s="18" t="s">
        <v>1276</v>
      </c>
    </row>
    <row r="291" spans="1:10" hidden="1">
      <c r="A291">
        <v>34</v>
      </c>
      <c r="B291">
        <v>1</v>
      </c>
      <c r="C291" s="18" t="s">
        <v>1275</v>
      </c>
      <c r="D291" t="s">
        <v>25</v>
      </c>
      <c r="E291" t="s">
        <v>29</v>
      </c>
      <c r="F291">
        <f>VLOOKUP(E291,[1]species_list!A$2:B$1194,2,FALSE)</f>
        <v>993</v>
      </c>
      <c r="G291" t="s">
        <v>25</v>
      </c>
      <c r="H291" t="s">
        <v>25</v>
      </c>
      <c r="I291" s="18" t="s">
        <v>1250</v>
      </c>
      <c r="J291" s="18" t="s">
        <v>1276</v>
      </c>
    </row>
    <row r="292" spans="1:10" hidden="1">
      <c r="A292">
        <v>34</v>
      </c>
      <c r="B292">
        <v>1</v>
      </c>
      <c r="C292" s="18" t="s">
        <v>1275</v>
      </c>
      <c r="D292" t="s">
        <v>25</v>
      </c>
      <c r="E292" t="s">
        <v>40</v>
      </c>
      <c r="F292">
        <f>VLOOKUP(E292,[1]species_list!A$2:B$1194,2,FALSE)</f>
        <v>829</v>
      </c>
      <c r="G292">
        <v>1</v>
      </c>
      <c r="H292">
        <v>2E-3</v>
      </c>
      <c r="I292" s="18" t="s">
        <v>1250</v>
      </c>
      <c r="J292" s="18" t="s">
        <v>1276</v>
      </c>
    </row>
    <row r="293" spans="1:10" hidden="1">
      <c r="A293">
        <v>34</v>
      </c>
      <c r="B293">
        <v>1</v>
      </c>
      <c r="C293" s="18" t="s">
        <v>1275</v>
      </c>
      <c r="D293" t="s">
        <v>25</v>
      </c>
      <c r="E293" s="18" t="s">
        <v>54</v>
      </c>
      <c r="F293">
        <f>VLOOKUP(E293,[1]species_list!A$2:B$1194,2,FALSE)</f>
        <v>740</v>
      </c>
      <c r="G293">
        <v>1</v>
      </c>
      <c r="H293">
        <v>1E-3</v>
      </c>
      <c r="I293" s="18" t="s">
        <v>1250</v>
      </c>
      <c r="J293" s="18" t="s">
        <v>1276</v>
      </c>
    </row>
    <row r="294" spans="1:10" hidden="1">
      <c r="A294">
        <v>34</v>
      </c>
      <c r="B294">
        <v>1</v>
      </c>
      <c r="C294" s="18" t="s">
        <v>1275</v>
      </c>
      <c r="D294" t="s">
        <v>25</v>
      </c>
      <c r="E294" t="s">
        <v>953</v>
      </c>
      <c r="F294">
        <f>VLOOKUP(E294,[1]species_list!A$2:B$1194,2,FALSE)</f>
        <v>717</v>
      </c>
      <c r="G294">
        <v>2</v>
      </c>
      <c r="H294">
        <v>2.7E-2</v>
      </c>
      <c r="I294" s="18" t="s">
        <v>1250</v>
      </c>
      <c r="J294" s="18" t="s">
        <v>1276</v>
      </c>
    </row>
    <row r="295" spans="1:10" hidden="1">
      <c r="A295">
        <v>17</v>
      </c>
      <c r="B295">
        <v>1</v>
      </c>
      <c r="C295" s="20" t="s">
        <v>1299</v>
      </c>
      <c r="D295" t="s">
        <v>25</v>
      </c>
      <c r="E295" t="s">
        <v>41</v>
      </c>
      <c r="F295">
        <f>VLOOKUP(E295,[1]species_list!A$2:B$1194,2,FALSE)</f>
        <v>828</v>
      </c>
      <c r="G295" t="s">
        <v>25</v>
      </c>
      <c r="H295" t="s">
        <v>25</v>
      </c>
      <c r="I295" s="18" t="s">
        <v>1250</v>
      </c>
      <c r="J295" t="s">
        <v>1300</v>
      </c>
    </row>
    <row r="296" spans="1:10" hidden="1">
      <c r="A296">
        <v>17</v>
      </c>
      <c r="B296">
        <v>1</v>
      </c>
      <c r="C296" s="20" t="s">
        <v>1299</v>
      </c>
      <c r="D296" t="s">
        <v>25</v>
      </c>
      <c r="E296" t="s">
        <v>38</v>
      </c>
      <c r="F296">
        <f>VLOOKUP(E296,[1]species_list!A$2:B$1194,2,FALSE)</f>
        <v>784</v>
      </c>
      <c r="G296" t="s">
        <v>25</v>
      </c>
      <c r="H296" t="s">
        <v>25</v>
      </c>
      <c r="I296" s="18" t="s">
        <v>1250</v>
      </c>
      <c r="J296" t="s">
        <v>1300</v>
      </c>
    </row>
    <row r="297" spans="1:10" hidden="1">
      <c r="A297">
        <v>17</v>
      </c>
      <c r="B297">
        <v>1</v>
      </c>
      <c r="C297" s="20" t="s">
        <v>1299</v>
      </c>
      <c r="D297" t="s">
        <v>25</v>
      </c>
      <c r="E297" t="s">
        <v>40</v>
      </c>
      <c r="F297">
        <f>VLOOKUP(E297,[1]species_list!A$2:B$1194,2,FALSE)</f>
        <v>829</v>
      </c>
      <c r="G297" t="s">
        <v>25</v>
      </c>
      <c r="H297" t="s">
        <v>25</v>
      </c>
      <c r="I297" s="18" t="s">
        <v>1250</v>
      </c>
      <c r="J297" t="s">
        <v>1300</v>
      </c>
    </row>
    <row r="298" spans="1:10" hidden="1">
      <c r="A298">
        <v>17</v>
      </c>
      <c r="B298">
        <v>1</v>
      </c>
      <c r="C298" s="20" t="s">
        <v>1299</v>
      </c>
      <c r="D298" t="s">
        <v>25</v>
      </c>
      <c r="E298" t="s">
        <v>35</v>
      </c>
      <c r="F298">
        <f>VLOOKUP(E298,[1]species_list!A$2:B$1194,2,FALSE)</f>
        <v>709</v>
      </c>
      <c r="G298" t="s">
        <v>25</v>
      </c>
      <c r="H298" t="s">
        <v>25</v>
      </c>
      <c r="I298" s="18" t="s">
        <v>1250</v>
      </c>
      <c r="J298" t="s">
        <v>1300</v>
      </c>
    </row>
    <row r="299" spans="1:10" hidden="1">
      <c r="A299">
        <v>17</v>
      </c>
      <c r="B299">
        <v>1</v>
      </c>
      <c r="C299" s="20" t="s">
        <v>1299</v>
      </c>
      <c r="D299" t="s">
        <v>25</v>
      </c>
      <c r="E299" s="17" t="s">
        <v>42</v>
      </c>
      <c r="F299">
        <f>VLOOKUP(E299,[1]species_list!A$2:B$1194,2,FALSE)</f>
        <v>826</v>
      </c>
      <c r="G299" t="s">
        <v>25</v>
      </c>
      <c r="H299" t="s">
        <v>25</v>
      </c>
      <c r="I299" s="18" t="s">
        <v>1250</v>
      </c>
      <c r="J299" t="s">
        <v>1300</v>
      </c>
    </row>
    <row r="300" spans="1:10" hidden="1">
      <c r="A300">
        <v>17</v>
      </c>
      <c r="B300">
        <v>1</v>
      </c>
      <c r="C300" s="20" t="s">
        <v>1299</v>
      </c>
      <c r="D300" t="s">
        <v>25</v>
      </c>
      <c r="E300" t="s">
        <v>1270</v>
      </c>
      <c r="F300" t="e">
        <f>VLOOKUP(E300,[1]species_list!A$2:B$1194,2,FALSE)</f>
        <v>#N/A</v>
      </c>
      <c r="G300" t="s">
        <v>25</v>
      </c>
      <c r="H300" t="s">
        <v>25</v>
      </c>
      <c r="I300" s="18" t="s">
        <v>1250</v>
      </c>
      <c r="J300" t="s">
        <v>1300</v>
      </c>
    </row>
    <row r="301" spans="1:10" hidden="1">
      <c r="A301">
        <v>17</v>
      </c>
      <c r="B301">
        <v>1</v>
      </c>
      <c r="C301" s="20" t="s">
        <v>1299</v>
      </c>
      <c r="D301" t="s">
        <v>25</v>
      </c>
      <c r="E301" t="s">
        <v>26</v>
      </c>
      <c r="F301">
        <f>VLOOKUP(E301,[1]species_list!A$2:B$1194,2,FALSE)</f>
        <v>435</v>
      </c>
      <c r="G301">
        <v>32</v>
      </c>
      <c r="H301">
        <v>8.6720000000000006</v>
      </c>
      <c r="I301" s="18" t="s">
        <v>1250</v>
      </c>
      <c r="J301" t="s">
        <v>1300</v>
      </c>
    </row>
    <row r="302" spans="1:10" hidden="1">
      <c r="A302">
        <v>17</v>
      </c>
      <c r="B302">
        <v>1</v>
      </c>
      <c r="C302" s="20" t="s">
        <v>1299</v>
      </c>
      <c r="D302" t="s">
        <v>25</v>
      </c>
      <c r="E302" t="s">
        <v>58</v>
      </c>
      <c r="F302">
        <f>VLOOKUP(E302,[1]species_list!A$2:B$1194,2,FALSE)</f>
        <v>440</v>
      </c>
      <c r="G302">
        <v>3</v>
      </c>
      <c r="H302">
        <v>6.1180000000000003</v>
      </c>
      <c r="I302" s="18" t="s">
        <v>1250</v>
      </c>
      <c r="J302" t="s">
        <v>1300</v>
      </c>
    </row>
  </sheetData>
  <autoFilter ref="A1:I302" xr:uid="{00000000-0001-0000-0200-000000000000}">
    <filterColumn colId="0">
      <filters>
        <filter val="16"/>
        <filter val="19"/>
        <filter val="8"/>
      </filters>
    </filterColumn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I4:L13"/>
  <sheetViews>
    <sheetView zoomScale="90" zoomScaleNormal="90" workbookViewId="0">
      <selection activeCell="J11" sqref="J11"/>
    </sheetView>
  </sheetViews>
  <sheetFormatPr defaultColWidth="8.77734375" defaultRowHeight="14.4"/>
  <cols>
    <col min="10" max="10" width="11" customWidth="1"/>
    <col min="11" max="11" width="9.77734375" customWidth="1"/>
    <col min="14" max="14" width="12.77734375"/>
  </cols>
  <sheetData>
    <row r="4" spans="9:12">
      <c r="I4" s="2" t="s">
        <v>87</v>
      </c>
      <c r="J4" s="3"/>
      <c r="K4" s="3"/>
      <c r="L4" s="4"/>
    </row>
    <row r="5" spans="9:12">
      <c r="I5" s="5"/>
      <c r="J5" t="s">
        <v>88</v>
      </c>
      <c r="L5" s="6"/>
    </row>
    <row r="6" spans="9:12">
      <c r="I6" s="7" t="s">
        <v>89</v>
      </c>
      <c r="J6" s="8">
        <v>3.6269999999999998</v>
      </c>
      <c r="K6" t="s">
        <v>90</v>
      </c>
      <c r="L6" s="6"/>
    </row>
    <row r="7" spans="9:12">
      <c r="I7" s="7" t="s">
        <v>91</v>
      </c>
      <c r="J7" s="9">
        <f>0.527+0.007</f>
        <v>0.53400000000000003</v>
      </c>
      <c r="K7" s="9"/>
      <c r="L7" s="6"/>
    </row>
    <row r="8" spans="9:12">
      <c r="I8" s="7" t="s">
        <v>92</v>
      </c>
      <c r="J8" s="9">
        <v>2.5000000000000001E-2</v>
      </c>
      <c r="K8" s="9"/>
      <c r="L8" s="6"/>
    </row>
    <row r="9" spans="9:12">
      <c r="I9" s="10"/>
      <c r="J9" s="11"/>
      <c r="K9" s="11"/>
      <c r="L9" s="12"/>
    </row>
    <row r="11" spans="9:12">
      <c r="I11" s="13" t="s">
        <v>93</v>
      </c>
      <c r="J11" s="14">
        <f>SUM(J6:K8)*SUM(J7:K7)/SUM(J7:K8)</f>
        <v>3.9987906976744187</v>
      </c>
    </row>
    <row r="12" spans="9:12">
      <c r="I12" s="13" t="s">
        <v>94</v>
      </c>
      <c r="J12" s="14">
        <f>SUM(J6:K8)*SUM(J8:K8)/SUM(J7:K8)</f>
        <v>0.18720930232558139</v>
      </c>
    </row>
    <row r="13" spans="9:12">
      <c r="I13" t="s">
        <v>95</v>
      </c>
      <c r="J13">
        <f>ROUND(J11+J12,0)</f>
        <v>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8"/>
  <sheetViews>
    <sheetView topLeftCell="A213" workbookViewId="0">
      <selection activeCell="A229" sqref="A229:D234"/>
    </sheetView>
  </sheetViews>
  <sheetFormatPr defaultColWidth="8.77734375" defaultRowHeight="14.4"/>
  <sheetData>
    <row r="1" spans="1:5">
      <c r="A1" t="s">
        <v>1</v>
      </c>
      <c r="B1" t="s">
        <v>4</v>
      </c>
      <c r="C1" t="s">
        <v>16</v>
      </c>
      <c r="D1" t="s">
        <v>18</v>
      </c>
      <c r="E1" t="s">
        <v>96</v>
      </c>
    </row>
    <row r="2" spans="1:5">
      <c r="A2">
        <v>8</v>
      </c>
      <c r="B2">
        <v>1</v>
      </c>
      <c r="C2" t="s">
        <v>1297</v>
      </c>
      <c r="D2" t="s">
        <v>26</v>
      </c>
      <c r="E2">
        <v>10.5</v>
      </c>
    </row>
    <row r="3" spans="1:5">
      <c r="A3">
        <v>8</v>
      </c>
      <c r="B3">
        <v>1</v>
      </c>
      <c r="C3" t="s">
        <v>1297</v>
      </c>
      <c r="D3" t="s">
        <v>26</v>
      </c>
      <c r="E3">
        <v>12.6</v>
      </c>
    </row>
    <row r="4" spans="1:5">
      <c r="A4">
        <v>8</v>
      </c>
      <c r="B4">
        <v>1</v>
      </c>
      <c r="C4" t="s">
        <v>1297</v>
      </c>
      <c r="D4" t="s">
        <v>26</v>
      </c>
      <c r="E4">
        <v>10.4</v>
      </c>
    </row>
    <row r="5" spans="1:5">
      <c r="A5">
        <v>8</v>
      </c>
      <c r="B5">
        <v>1</v>
      </c>
      <c r="C5" t="s">
        <v>1297</v>
      </c>
      <c r="D5" t="s">
        <v>26</v>
      </c>
      <c r="E5">
        <v>13.1</v>
      </c>
    </row>
    <row r="6" spans="1:5">
      <c r="A6">
        <v>8</v>
      </c>
      <c r="B6">
        <v>1</v>
      </c>
      <c r="C6" t="s">
        <v>1297</v>
      </c>
      <c r="D6" t="s">
        <v>26</v>
      </c>
      <c r="E6">
        <v>13</v>
      </c>
    </row>
    <row r="7" spans="1:5">
      <c r="A7">
        <v>8</v>
      </c>
      <c r="B7">
        <v>1</v>
      </c>
      <c r="C7" t="s">
        <v>1297</v>
      </c>
      <c r="D7" t="s">
        <v>26</v>
      </c>
      <c r="E7">
        <v>12.6</v>
      </c>
    </row>
    <row r="8" spans="1:5">
      <c r="A8">
        <v>8</v>
      </c>
      <c r="B8">
        <v>1</v>
      </c>
      <c r="C8" t="s">
        <v>1297</v>
      </c>
      <c r="D8" t="s">
        <v>26</v>
      </c>
      <c r="E8">
        <v>12.6</v>
      </c>
    </row>
    <row r="9" spans="1:5">
      <c r="A9">
        <v>8</v>
      </c>
      <c r="B9">
        <v>1</v>
      </c>
      <c r="C9" t="s">
        <v>1297</v>
      </c>
      <c r="D9" t="s">
        <v>26</v>
      </c>
      <c r="E9">
        <v>12.9</v>
      </c>
    </row>
    <row r="10" spans="1:5">
      <c r="A10">
        <v>8</v>
      </c>
      <c r="B10">
        <v>1</v>
      </c>
      <c r="C10" t="s">
        <v>1297</v>
      </c>
      <c r="D10" t="s">
        <v>26</v>
      </c>
      <c r="E10">
        <v>12.1</v>
      </c>
    </row>
    <row r="11" spans="1:5">
      <c r="A11">
        <v>8</v>
      </c>
      <c r="B11">
        <v>1</v>
      </c>
      <c r="C11" t="s">
        <v>1297</v>
      </c>
      <c r="D11" t="s">
        <v>26</v>
      </c>
      <c r="E11">
        <v>10</v>
      </c>
    </row>
    <row r="12" spans="1:5">
      <c r="A12">
        <v>8</v>
      </c>
      <c r="B12">
        <v>1</v>
      </c>
      <c r="C12" t="s">
        <v>1297</v>
      </c>
      <c r="D12" t="s">
        <v>26</v>
      </c>
      <c r="E12">
        <v>13.3</v>
      </c>
    </row>
    <row r="13" spans="1:5">
      <c r="A13">
        <v>8</v>
      </c>
      <c r="B13">
        <v>1</v>
      </c>
      <c r="C13" t="s">
        <v>1297</v>
      </c>
      <c r="D13" t="s">
        <v>26</v>
      </c>
      <c r="E13">
        <v>11.5</v>
      </c>
    </row>
    <row r="14" spans="1:5">
      <c r="A14">
        <v>8</v>
      </c>
      <c r="B14">
        <v>1</v>
      </c>
      <c r="C14" t="s">
        <v>1297</v>
      </c>
      <c r="D14" t="s">
        <v>26</v>
      </c>
      <c r="E14">
        <v>12.1</v>
      </c>
    </row>
    <row r="15" spans="1:5">
      <c r="A15">
        <v>8</v>
      </c>
      <c r="B15">
        <v>1</v>
      </c>
      <c r="C15" t="s">
        <v>1297</v>
      </c>
      <c r="D15" t="s">
        <v>26</v>
      </c>
      <c r="E15">
        <v>12.2</v>
      </c>
    </row>
    <row r="16" spans="1:5">
      <c r="A16">
        <v>8</v>
      </c>
      <c r="B16">
        <v>1</v>
      </c>
      <c r="C16" t="s">
        <v>1297</v>
      </c>
      <c r="D16" t="s">
        <v>26</v>
      </c>
      <c r="E16">
        <v>12.2</v>
      </c>
    </row>
    <row r="17" spans="1:5">
      <c r="A17">
        <v>8</v>
      </c>
      <c r="B17">
        <v>1</v>
      </c>
      <c r="C17" t="s">
        <v>1297</v>
      </c>
      <c r="D17" t="s">
        <v>26</v>
      </c>
      <c r="E17">
        <v>11.3</v>
      </c>
    </row>
    <row r="18" spans="1:5">
      <c r="A18">
        <v>8</v>
      </c>
      <c r="B18">
        <v>1</v>
      </c>
      <c r="C18" t="s">
        <v>1297</v>
      </c>
      <c r="D18" t="s">
        <v>26</v>
      </c>
      <c r="E18">
        <v>12.8</v>
      </c>
    </row>
    <row r="19" spans="1:5">
      <c r="A19">
        <v>8</v>
      </c>
      <c r="B19">
        <v>1</v>
      </c>
      <c r="C19" t="s">
        <v>1297</v>
      </c>
      <c r="D19" t="s">
        <v>26</v>
      </c>
      <c r="E19">
        <v>12.6</v>
      </c>
    </row>
    <row r="20" spans="1:5">
      <c r="A20">
        <v>8</v>
      </c>
      <c r="B20">
        <v>1</v>
      </c>
      <c r="C20" t="s">
        <v>1297</v>
      </c>
      <c r="D20" t="s">
        <v>26</v>
      </c>
      <c r="E20">
        <v>12</v>
      </c>
    </row>
    <row r="21" spans="1:5">
      <c r="A21">
        <v>8</v>
      </c>
      <c r="B21">
        <v>1</v>
      </c>
      <c r="C21" t="s">
        <v>1297</v>
      </c>
      <c r="D21" t="s">
        <v>26</v>
      </c>
      <c r="E21">
        <v>11.3</v>
      </c>
    </row>
    <row r="22" spans="1:5">
      <c r="A22">
        <v>8</v>
      </c>
      <c r="B22">
        <v>1</v>
      </c>
      <c r="C22" t="s">
        <v>1297</v>
      </c>
      <c r="D22" t="s">
        <v>26</v>
      </c>
      <c r="E22">
        <v>13.7</v>
      </c>
    </row>
    <row r="23" spans="1:5">
      <c r="A23">
        <v>8</v>
      </c>
      <c r="B23">
        <v>1</v>
      </c>
      <c r="C23" t="s">
        <v>1297</v>
      </c>
      <c r="D23" t="s">
        <v>26</v>
      </c>
      <c r="E23">
        <v>12</v>
      </c>
    </row>
    <row r="24" spans="1:5">
      <c r="A24">
        <v>8</v>
      </c>
      <c r="B24">
        <v>1</v>
      </c>
      <c r="C24" t="s">
        <v>1297</v>
      </c>
      <c r="D24" t="s">
        <v>26</v>
      </c>
      <c r="E24">
        <v>12.7</v>
      </c>
    </row>
    <row r="25" spans="1:5">
      <c r="A25">
        <v>8</v>
      </c>
      <c r="B25">
        <v>1</v>
      </c>
      <c r="C25" t="s">
        <v>1297</v>
      </c>
      <c r="D25" t="s">
        <v>26</v>
      </c>
      <c r="E25">
        <v>11.6</v>
      </c>
    </row>
    <row r="26" spans="1:5">
      <c r="A26">
        <v>8</v>
      </c>
      <c r="B26">
        <v>1</v>
      </c>
      <c r="C26" t="s">
        <v>1297</v>
      </c>
      <c r="D26" t="s">
        <v>26</v>
      </c>
      <c r="E26">
        <v>11.6</v>
      </c>
    </row>
    <row r="27" spans="1:5">
      <c r="A27">
        <v>8</v>
      </c>
      <c r="B27">
        <v>1</v>
      </c>
      <c r="C27" t="s">
        <v>1297</v>
      </c>
      <c r="D27" t="s">
        <v>26</v>
      </c>
      <c r="E27">
        <v>12.4</v>
      </c>
    </row>
    <row r="28" spans="1:5">
      <c r="A28">
        <v>8</v>
      </c>
      <c r="B28">
        <v>1</v>
      </c>
      <c r="C28" t="s">
        <v>1297</v>
      </c>
      <c r="D28" t="s">
        <v>26</v>
      </c>
      <c r="E28">
        <v>11.3</v>
      </c>
    </row>
    <row r="29" spans="1:5">
      <c r="A29">
        <v>8</v>
      </c>
      <c r="B29">
        <v>1</v>
      </c>
      <c r="C29" t="s">
        <v>1297</v>
      </c>
      <c r="D29" t="s">
        <v>26</v>
      </c>
      <c r="E29">
        <v>13.9</v>
      </c>
    </row>
    <row r="30" spans="1:5">
      <c r="A30">
        <v>8</v>
      </c>
      <c r="B30">
        <v>1</v>
      </c>
      <c r="C30" t="s">
        <v>1297</v>
      </c>
      <c r="D30" t="s">
        <v>26</v>
      </c>
      <c r="E30">
        <v>11.2</v>
      </c>
    </row>
    <row r="31" spans="1:5">
      <c r="A31">
        <v>8</v>
      </c>
      <c r="B31">
        <v>1</v>
      </c>
      <c r="C31" t="s">
        <v>1297</v>
      </c>
      <c r="D31" t="s">
        <v>26</v>
      </c>
      <c r="E31">
        <v>12.7</v>
      </c>
    </row>
    <row r="32" spans="1:5">
      <c r="A32">
        <v>8</v>
      </c>
      <c r="B32">
        <v>1</v>
      </c>
      <c r="C32" t="s">
        <v>1297</v>
      </c>
      <c r="D32" t="s">
        <v>26</v>
      </c>
      <c r="E32">
        <v>11.8</v>
      </c>
    </row>
    <row r="33" spans="1:5">
      <c r="A33">
        <v>8</v>
      </c>
      <c r="B33">
        <v>1</v>
      </c>
      <c r="C33" t="s">
        <v>1297</v>
      </c>
      <c r="D33" t="s">
        <v>26</v>
      </c>
      <c r="E33">
        <v>13.8</v>
      </c>
    </row>
    <row r="34" spans="1:5">
      <c r="A34">
        <v>8</v>
      </c>
      <c r="B34">
        <v>1</v>
      </c>
      <c r="C34" t="s">
        <v>1297</v>
      </c>
      <c r="D34" t="s">
        <v>26</v>
      </c>
      <c r="E34">
        <v>11.3</v>
      </c>
    </row>
    <row r="35" spans="1:5">
      <c r="A35">
        <v>8</v>
      </c>
      <c r="B35">
        <v>1</v>
      </c>
      <c r="C35" t="s">
        <v>1297</v>
      </c>
      <c r="D35" t="s">
        <v>26</v>
      </c>
      <c r="E35">
        <v>10.7</v>
      </c>
    </row>
    <row r="36" spans="1:5">
      <c r="A36">
        <v>8</v>
      </c>
      <c r="B36">
        <v>1</v>
      </c>
      <c r="C36" t="s">
        <v>1297</v>
      </c>
      <c r="D36" t="s">
        <v>26</v>
      </c>
      <c r="E36">
        <v>11.7</v>
      </c>
    </row>
    <row r="37" spans="1:5">
      <c r="A37">
        <v>8</v>
      </c>
      <c r="B37">
        <v>1</v>
      </c>
      <c r="C37" t="s">
        <v>1297</v>
      </c>
      <c r="D37" t="s">
        <v>26</v>
      </c>
      <c r="E37">
        <v>12</v>
      </c>
    </row>
    <row r="38" spans="1:5">
      <c r="A38">
        <v>8</v>
      </c>
      <c r="B38">
        <v>1</v>
      </c>
      <c r="C38" t="s">
        <v>1297</v>
      </c>
      <c r="D38" t="s">
        <v>26</v>
      </c>
      <c r="E38">
        <v>13.1</v>
      </c>
    </row>
    <row r="39" spans="1:5">
      <c r="A39">
        <v>8</v>
      </c>
      <c r="B39">
        <v>1</v>
      </c>
      <c r="C39" t="s">
        <v>1297</v>
      </c>
      <c r="D39" t="s">
        <v>26</v>
      </c>
      <c r="E39">
        <v>12.5</v>
      </c>
    </row>
    <row r="40" spans="1:5">
      <c r="A40">
        <v>8</v>
      </c>
      <c r="B40">
        <v>1</v>
      </c>
      <c r="C40" t="s">
        <v>1297</v>
      </c>
      <c r="D40" t="s">
        <v>26</v>
      </c>
      <c r="E40">
        <v>10.3</v>
      </c>
    </row>
    <row r="41" spans="1:5">
      <c r="A41">
        <v>8</v>
      </c>
      <c r="B41">
        <v>1</v>
      </c>
      <c r="C41" t="s">
        <v>1297</v>
      </c>
      <c r="D41" t="s">
        <v>26</v>
      </c>
      <c r="E41">
        <v>12.4</v>
      </c>
    </row>
    <row r="42" spans="1:5">
      <c r="A42">
        <v>8</v>
      </c>
      <c r="B42">
        <v>1</v>
      </c>
      <c r="C42" t="s">
        <v>1297</v>
      </c>
      <c r="D42" t="s">
        <v>26</v>
      </c>
      <c r="E42">
        <v>14.1</v>
      </c>
    </row>
    <row r="43" spans="1:5">
      <c r="A43">
        <v>8</v>
      </c>
      <c r="B43">
        <v>1</v>
      </c>
      <c r="C43" t="s">
        <v>1297</v>
      </c>
      <c r="D43" t="s">
        <v>26</v>
      </c>
      <c r="E43">
        <v>12.3</v>
      </c>
    </row>
    <row r="44" spans="1:5">
      <c r="A44">
        <v>8</v>
      </c>
      <c r="B44">
        <v>1</v>
      </c>
      <c r="C44" t="s">
        <v>1297</v>
      </c>
      <c r="D44" t="s">
        <v>26</v>
      </c>
      <c r="E44">
        <v>11.7</v>
      </c>
    </row>
    <row r="45" spans="1:5">
      <c r="A45">
        <v>8</v>
      </c>
      <c r="B45">
        <v>1</v>
      </c>
      <c r="C45" t="s">
        <v>1297</v>
      </c>
      <c r="D45" t="s">
        <v>26</v>
      </c>
      <c r="E45">
        <v>11.5</v>
      </c>
    </row>
    <row r="46" spans="1:5">
      <c r="A46">
        <v>8</v>
      </c>
      <c r="B46">
        <v>1</v>
      </c>
      <c r="C46" t="s">
        <v>1297</v>
      </c>
      <c r="D46" t="s">
        <v>26</v>
      </c>
      <c r="E46">
        <v>9.9</v>
      </c>
    </row>
    <row r="47" spans="1:5">
      <c r="A47">
        <v>8</v>
      </c>
      <c r="B47">
        <v>1</v>
      </c>
      <c r="C47" t="s">
        <v>1297</v>
      </c>
      <c r="D47" t="s">
        <v>26</v>
      </c>
      <c r="E47">
        <v>11.1</v>
      </c>
    </row>
    <row r="48" spans="1:5">
      <c r="A48">
        <v>8</v>
      </c>
      <c r="B48">
        <v>1</v>
      </c>
      <c r="C48" t="s">
        <v>1297</v>
      </c>
      <c r="D48" t="s">
        <v>26</v>
      </c>
      <c r="E48">
        <v>12</v>
      </c>
    </row>
    <row r="49" spans="1:5">
      <c r="A49">
        <v>8</v>
      </c>
      <c r="B49">
        <v>1</v>
      </c>
      <c r="C49" t="s">
        <v>1297</v>
      </c>
      <c r="D49" t="s">
        <v>26</v>
      </c>
      <c r="E49">
        <v>12.1</v>
      </c>
    </row>
    <row r="50" spans="1:5">
      <c r="A50">
        <v>8</v>
      </c>
      <c r="B50">
        <v>1</v>
      </c>
      <c r="C50" t="s">
        <v>1297</v>
      </c>
      <c r="D50" t="s">
        <v>26</v>
      </c>
      <c r="E50">
        <v>5.3</v>
      </c>
    </row>
    <row r="51" spans="1:5">
      <c r="A51">
        <v>8</v>
      </c>
      <c r="B51">
        <v>1</v>
      </c>
      <c r="C51" t="s">
        <v>1297</v>
      </c>
      <c r="D51" t="s">
        <v>26</v>
      </c>
      <c r="E51">
        <v>10.8</v>
      </c>
    </row>
    <row r="52" spans="1:5">
      <c r="A52">
        <v>8</v>
      </c>
      <c r="B52">
        <v>1</v>
      </c>
      <c r="C52" t="s">
        <v>1297</v>
      </c>
      <c r="D52" t="s">
        <v>26</v>
      </c>
      <c r="E52">
        <v>11.6</v>
      </c>
    </row>
    <row r="53" spans="1:5">
      <c r="A53">
        <v>8</v>
      </c>
      <c r="B53">
        <v>1</v>
      </c>
      <c r="C53" t="s">
        <v>1297</v>
      </c>
      <c r="D53" t="s">
        <v>26</v>
      </c>
      <c r="E53">
        <v>12.3</v>
      </c>
    </row>
    <row r="54" spans="1:5">
      <c r="A54">
        <v>8</v>
      </c>
      <c r="B54">
        <v>1</v>
      </c>
      <c r="C54" t="s">
        <v>1297</v>
      </c>
      <c r="D54" t="s">
        <v>26</v>
      </c>
      <c r="E54">
        <v>12.1</v>
      </c>
    </row>
    <row r="55" spans="1:5">
      <c r="A55">
        <v>8</v>
      </c>
      <c r="B55">
        <v>1</v>
      </c>
      <c r="C55" t="s">
        <v>1297</v>
      </c>
      <c r="D55" t="s">
        <v>26</v>
      </c>
      <c r="E55">
        <v>11.4</v>
      </c>
    </row>
    <row r="56" spans="1:5">
      <c r="A56">
        <v>8</v>
      </c>
      <c r="B56">
        <v>1</v>
      </c>
      <c r="C56" t="s">
        <v>1297</v>
      </c>
      <c r="D56" t="s">
        <v>26</v>
      </c>
      <c r="E56">
        <v>12.5</v>
      </c>
    </row>
    <row r="57" spans="1:5">
      <c r="A57">
        <v>8</v>
      </c>
      <c r="B57">
        <v>1</v>
      </c>
      <c r="C57" t="s">
        <v>1297</v>
      </c>
      <c r="D57" t="s">
        <v>26</v>
      </c>
      <c r="E57">
        <v>12</v>
      </c>
    </row>
    <row r="58" spans="1:5">
      <c r="A58">
        <v>8</v>
      </c>
      <c r="B58">
        <v>1</v>
      </c>
      <c r="C58" t="s">
        <v>1297</v>
      </c>
      <c r="D58" t="s">
        <v>26</v>
      </c>
      <c r="E58">
        <v>12.8</v>
      </c>
    </row>
    <row r="59" spans="1:5">
      <c r="A59">
        <v>8</v>
      </c>
      <c r="B59">
        <v>1</v>
      </c>
      <c r="C59" t="s">
        <v>1297</v>
      </c>
      <c r="D59" t="s">
        <v>26</v>
      </c>
      <c r="E59">
        <v>12.6</v>
      </c>
    </row>
    <row r="60" spans="1:5">
      <c r="A60">
        <v>8</v>
      </c>
      <c r="B60">
        <v>1</v>
      </c>
      <c r="C60" t="s">
        <v>1297</v>
      </c>
      <c r="D60" t="s">
        <v>26</v>
      </c>
      <c r="E60">
        <v>11.7</v>
      </c>
    </row>
    <row r="61" spans="1:5">
      <c r="A61">
        <v>8</v>
      </c>
      <c r="B61">
        <v>1</v>
      </c>
      <c r="C61" t="s">
        <v>1297</v>
      </c>
      <c r="D61" t="s">
        <v>26</v>
      </c>
      <c r="E61">
        <v>10.6</v>
      </c>
    </row>
    <row r="62" spans="1:5">
      <c r="A62">
        <v>8</v>
      </c>
      <c r="B62">
        <v>1</v>
      </c>
      <c r="C62" t="s">
        <v>1297</v>
      </c>
      <c r="D62" t="s">
        <v>26</v>
      </c>
      <c r="E62">
        <v>11.3</v>
      </c>
    </row>
    <row r="63" spans="1:5">
      <c r="A63">
        <v>8</v>
      </c>
      <c r="B63">
        <v>1</v>
      </c>
      <c r="C63" t="s">
        <v>1297</v>
      </c>
      <c r="D63" t="s">
        <v>26</v>
      </c>
      <c r="E63">
        <v>13.9</v>
      </c>
    </row>
    <row r="64" spans="1:5">
      <c r="A64">
        <v>8</v>
      </c>
      <c r="B64">
        <v>1</v>
      </c>
      <c r="C64" t="s">
        <v>1297</v>
      </c>
      <c r="D64" t="s">
        <v>26</v>
      </c>
      <c r="E64">
        <v>12</v>
      </c>
    </row>
    <row r="65" spans="1:5">
      <c r="A65">
        <v>8</v>
      </c>
      <c r="B65">
        <v>1</v>
      </c>
      <c r="C65" t="s">
        <v>1297</v>
      </c>
      <c r="D65" t="s">
        <v>26</v>
      </c>
      <c r="E65">
        <v>5.7</v>
      </c>
    </row>
    <row r="66" spans="1:5">
      <c r="A66">
        <v>8</v>
      </c>
      <c r="B66">
        <v>1</v>
      </c>
      <c r="C66" t="s">
        <v>1297</v>
      </c>
      <c r="D66" t="s">
        <v>26</v>
      </c>
      <c r="E66">
        <v>11.7</v>
      </c>
    </row>
    <row r="67" spans="1:5">
      <c r="A67">
        <v>8</v>
      </c>
      <c r="B67">
        <v>1</v>
      </c>
      <c r="C67" t="s">
        <v>1297</v>
      </c>
      <c r="D67" t="s">
        <v>26</v>
      </c>
      <c r="E67">
        <v>10.6</v>
      </c>
    </row>
    <row r="68" spans="1:5">
      <c r="A68">
        <v>8</v>
      </c>
      <c r="B68">
        <v>1</v>
      </c>
      <c r="C68" t="s">
        <v>1297</v>
      </c>
      <c r="D68" t="s">
        <v>26</v>
      </c>
      <c r="E68">
        <v>11.8</v>
      </c>
    </row>
    <row r="69" spans="1:5">
      <c r="A69">
        <v>8</v>
      </c>
      <c r="B69">
        <v>1</v>
      </c>
      <c r="C69" t="s">
        <v>1297</v>
      </c>
      <c r="D69" t="s">
        <v>26</v>
      </c>
      <c r="E69">
        <v>11</v>
      </c>
    </row>
    <row r="70" spans="1:5">
      <c r="A70">
        <v>8</v>
      </c>
      <c r="B70">
        <v>1</v>
      </c>
      <c r="C70" t="s">
        <v>1297</v>
      </c>
      <c r="D70" t="s">
        <v>26</v>
      </c>
      <c r="E70">
        <v>11</v>
      </c>
    </row>
    <row r="71" spans="1:5">
      <c r="A71">
        <v>8</v>
      </c>
      <c r="B71">
        <v>1</v>
      </c>
      <c r="C71" t="s">
        <v>1297</v>
      </c>
      <c r="D71" t="s">
        <v>26</v>
      </c>
      <c r="E71">
        <v>12.2</v>
      </c>
    </row>
    <row r="72" spans="1:5">
      <c r="A72">
        <v>8</v>
      </c>
      <c r="B72">
        <v>1</v>
      </c>
      <c r="C72" t="s">
        <v>1297</v>
      </c>
      <c r="D72" t="s">
        <v>26</v>
      </c>
      <c r="E72">
        <v>12.5</v>
      </c>
    </row>
    <row r="73" spans="1:5">
      <c r="A73">
        <v>8</v>
      </c>
      <c r="B73">
        <v>1</v>
      </c>
      <c r="C73" t="s">
        <v>1297</v>
      </c>
      <c r="D73" t="s">
        <v>26</v>
      </c>
      <c r="E73">
        <v>12.6</v>
      </c>
    </row>
    <row r="74" spans="1:5">
      <c r="A74">
        <v>8</v>
      </c>
      <c r="B74">
        <v>1</v>
      </c>
      <c r="C74" t="s">
        <v>1297</v>
      </c>
      <c r="D74" t="s">
        <v>26</v>
      </c>
      <c r="E74">
        <v>12.5</v>
      </c>
    </row>
    <row r="75" spans="1:5">
      <c r="A75">
        <v>8</v>
      </c>
      <c r="B75">
        <v>1</v>
      </c>
      <c r="C75" t="s">
        <v>1297</v>
      </c>
      <c r="D75" t="s">
        <v>26</v>
      </c>
      <c r="E75">
        <v>11.2</v>
      </c>
    </row>
    <row r="76" spans="1:5">
      <c r="A76">
        <v>8</v>
      </c>
      <c r="B76">
        <v>1</v>
      </c>
      <c r="C76" t="s">
        <v>1297</v>
      </c>
      <c r="D76" t="s">
        <v>26</v>
      </c>
      <c r="E76">
        <v>12.7</v>
      </c>
    </row>
    <row r="77" spans="1:5">
      <c r="A77">
        <v>8</v>
      </c>
      <c r="B77">
        <v>1</v>
      </c>
      <c r="C77" t="s">
        <v>1297</v>
      </c>
      <c r="D77" t="s">
        <v>26</v>
      </c>
      <c r="E77">
        <v>9.1</v>
      </c>
    </row>
    <row r="78" spans="1:5">
      <c r="A78">
        <v>8</v>
      </c>
      <c r="B78">
        <v>1</v>
      </c>
      <c r="C78" t="s">
        <v>1297</v>
      </c>
      <c r="D78" t="s">
        <v>26</v>
      </c>
      <c r="E78">
        <v>11.8</v>
      </c>
    </row>
    <row r="79" spans="1:5">
      <c r="A79">
        <v>8</v>
      </c>
      <c r="B79">
        <v>1</v>
      </c>
      <c r="C79" t="s">
        <v>1297</v>
      </c>
      <c r="D79" t="s">
        <v>26</v>
      </c>
      <c r="E79">
        <v>10.7</v>
      </c>
    </row>
    <row r="80" spans="1:5">
      <c r="A80">
        <v>8</v>
      </c>
      <c r="B80">
        <v>1</v>
      </c>
      <c r="C80" t="s">
        <v>1297</v>
      </c>
      <c r="D80" t="s">
        <v>26</v>
      </c>
      <c r="E80">
        <v>5.7</v>
      </c>
    </row>
    <row r="81" spans="1:5">
      <c r="A81">
        <v>8</v>
      </c>
      <c r="B81">
        <v>1</v>
      </c>
      <c r="C81" t="s">
        <v>1297</v>
      </c>
      <c r="D81" t="s">
        <v>26</v>
      </c>
      <c r="E81">
        <v>10.3</v>
      </c>
    </row>
    <row r="82" spans="1:5">
      <c r="A82">
        <v>8</v>
      </c>
      <c r="B82">
        <v>1</v>
      </c>
      <c r="C82" t="s">
        <v>1297</v>
      </c>
      <c r="D82" t="s">
        <v>26</v>
      </c>
      <c r="E82">
        <v>11.7</v>
      </c>
    </row>
    <row r="83" spans="1:5">
      <c r="A83">
        <v>8</v>
      </c>
      <c r="B83">
        <v>1</v>
      </c>
      <c r="C83" t="s">
        <v>1297</v>
      </c>
      <c r="D83" t="s">
        <v>26</v>
      </c>
      <c r="E83">
        <v>9.8000000000000007</v>
      </c>
    </row>
    <row r="84" spans="1:5">
      <c r="A84">
        <v>8</v>
      </c>
      <c r="B84">
        <v>1</v>
      </c>
      <c r="C84" t="s">
        <v>1297</v>
      </c>
      <c r="D84" t="s">
        <v>26</v>
      </c>
      <c r="E84">
        <v>11.1</v>
      </c>
    </row>
    <row r="85" spans="1:5">
      <c r="A85">
        <v>8</v>
      </c>
      <c r="B85">
        <v>1</v>
      </c>
      <c r="C85" t="s">
        <v>1297</v>
      </c>
      <c r="D85" t="s">
        <v>26</v>
      </c>
      <c r="E85">
        <v>5.0999999999999996</v>
      </c>
    </row>
    <row r="86" spans="1:5">
      <c r="A86">
        <v>8</v>
      </c>
      <c r="B86">
        <v>1</v>
      </c>
      <c r="C86" t="s">
        <v>1297</v>
      </c>
      <c r="D86" t="s">
        <v>26</v>
      </c>
      <c r="E86">
        <v>10.199999999999999</v>
      </c>
    </row>
    <row r="87" spans="1:5">
      <c r="A87">
        <v>19</v>
      </c>
      <c r="B87">
        <v>1</v>
      </c>
      <c r="C87" t="s">
        <v>1295</v>
      </c>
      <c r="D87" t="s">
        <v>26</v>
      </c>
      <c r="E87">
        <v>14.3</v>
      </c>
    </row>
    <row r="88" spans="1:5">
      <c r="A88">
        <v>19</v>
      </c>
      <c r="B88">
        <v>1</v>
      </c>
      <c r="C88" t="s">
        <v>1295</v>
      </c>
      <c r="D88" t="s">
        <v>26</v>
      </c>
      <c r="E88">
        <v>12.8</v>
      </c>
    </row>
    <row r="89" spans="1:5">
      <c r="A89">
        <v>19</v>
      </c>
      <c r="B89">
        <v>1</v>
      </c>
      <c r="C89" t="s">
        <v>1295</v>
      </c>
      <c r="D89" t="s">
        <v>26</v>
      </c>
      <c r="E89">
        <v>17</v>
      </c>
    </row>
    <row r="90" spans="1:5">
      <c r="A90">
        <v>19</v>
      </c>
      <c r="B90">
        <v>1</v>
      </c>
      <c r="C90" t="s">
        <v>1295</v>
      </c>
      <c r="D90" t="s">
        <v>26</v>
      </c>
      <c r="E90">
        <v>13.7</v>
      </c>
    </row>
    <row r="91" spans="1:5">
      <c r="A91">
        <v>19</v>
      </c>
      <c r="B91">
        <v>1</v>
      </c>
      <c r="C91" t="s">
        <v>1295</v>
      </c>
      <c r="D91" t="s">
        <v>26</v>
      </c>
      <c r="E91">
        <v>14.1</v>
      </c>
    </row>
    <row r="92" spans="1:5">
      <c r="A92">
        <v>19</v>
      </c>
      <c r="B92">
        <v>1</v>
      </c>
      <c r="C92" t="s">
        <v>1295</v>
      </c>
      <c r="D92" t="s">
        <v>26</v>
      </c>
      <c r="E92">
        <v>16</v>
      </c>
    </row>
    <row r="93" spans="1:5">
      <c r="A93">
        <v>19</v>
      </c>
      <c r="B93">
        <v>1</v>
      </c>
      <c r="C93" t="s">
        <v>1295</v>
      </c>
      <c r="D93" t="s">
        <v>26</v>
      </c>
      <c r="E93">
        <v>13</v>
      </c>
    </row>
    <row r="94" spans="1:5">
      <c r="A94">
        <v>19</v>
      </c>
      <c r="B94">
        <v>1</v>
      </c>
      <c r="C94" t="s">
        <v>1295</v>
      </c>
      <c r="D94" t="s">
        <v>26</v>
      </c>
      <c r="E94">
        <v>15.6</v>
      </c>
    </row>
    <row r="95" spans="1:5">
      <c r="A95">
        <v>19</v>
      </c>
      <c r="B95">
        <v>1</v>
      </c>
      <c r="C95" t="s">
        <v>1295</v>
      </c>
      <c r="D95" t="s">
        <v>26</v>
      </c>
      <c r="E95">
        <v>17.899999999999999</v>
      </c>
    </row>
    <row r="96" spans="1:5">
      <c r="A96">
        <v>19</v>
      </c>
      <c r="B96">
        <v>1</v>
      </c>
      <c r="C96" t="s">
        <v>1295</v>
      </c>
      <c r="D96" t="s">
        <v>26</v>
      </c>
      <c r="E96">
        <v>13.6</v>
      </c>
    </row>
    <row r="97" spans="1:5">
      <c r="A97">
        <v>19</v>
      </c>
      <c r="B97">
        <v>1</v>
      </c>
      <c r="C97" t="s">
        <v>1295</v>
      </c>
      <c r="D97" t="s">
        <v>26</v>
      </c>
      <c r="E97">
        <v>16.2</v>
      </c>
    </row>
    <row r="98" spans="1:5">
      <c r="A98">
        <v>19</v>
      </c>
      <c r="B98">
        <v>1</v>
      </c>
      <c r="C98" t="s">
        <v>1295</v>
      </c>
      <c r="D98" t="s">
        <v>26</v>
      </c>
      <c r="E98">
        <v>12.3</v>
      </c>
    </row>
    <row r="99" spans="1:5">
      <c r="A99">
        <v>19</v>
      </c>
      <c r="B99">
        <v>1</v>
      </c>
      <c r="C99" t="s">
        <v>1295</v>
      </c>
      <c r="D99" t="s">
        <v>26</v>
      </c>
      <c r="E99">
        <v>12.6</v>
      </c>
    </row>
    <row r="100" spans="1:5">
      <c r="A100">
        <v>19</v>
      </c>
      <c r="B100">
        <v>1</v>
      </c>
      <c r="C100" t="s">
        <v>1295</v>
      </c>
      <c r="D100" t="s">
        <v>26</v>
      </c>
      <c r="E100">
        <v>14.3</v>
      </c>
    </row>
    <row r="101" spans="1:5">
      <c r="A101">
        <v>19</v>
      </c>
      <c r="B101">
        <v>1</v>
      </c>
      <c r="C101" t="s">
        <v>1295</v>
      </c>
      <c r="D101" t="s">
        <v>26</v>
      </c>
      <c r="E101">
        <v>14.4</v>
      </c>
    </row>
    <row r="102" spans="1:5">
      <c r="A102">
        <v>19</v>
      </c>
      <c r="B102">
        <v>1</v>
      </c>
      <c r="C102" t="s">
        <v>1295</v>
      </c>
      <c r="D102" t="s">
        <v>26</v>
      </c>
      <c r="E102">
        <v>15.3</v>
      </c>
    </row>
    <row r="103" spans="1:5">
      <c r="A103">
        <v>19</v>
      </c>
      <c r="B103">
        <v>1</v>
      </c>
      <c r="C103" t="s">
        <v>1295</v>
      </c>
      <c r="D103" t="s">
        <v>26</v>
      </c>
      <c r="E103">
        <v>15.4</v>
      </c>
    </row>
    <row r="104" spans="1:5">
      <c r="A104">
        <v>19</v>
      </c>
      <c r="B104">
        <v>1</v>
      </c>
      <c r="C104" t="s">
        <v>1295</v>
      </c>
      <c r="D104" t="s">
        <v>26</v>
      </c>
      <c r="E104">
        <v>13.8</v>
      </c>
    </row>
    <row r="105" spans="1:5">
      <c r="A105">
        <v>19</v>
      </c>
      <c r="B105">
        <v>1</v>
      </c>
      <c r="C105" t="s">
        <v>1295</v>
      </c>
      <c r="D105" t="s">
        <v>26</v>
      </c>
      <c r="E105">
        <v>13.3</v>
      </c>
    </row>
    <row r="106" spans="1:5">
      <c r="A106">
        <v>19</v>
      </c>
      <c r="B106">
        <v>1</v>
      </c>
      <c r="C106" t="s">
        <v>1295</v>
      </c>
      <c r="D106" t="s">
        <v>26</v>
      </c>
      <c r="E106">
        <v>13.1</v>
      </c>
    </row>
    <row r="107" spans="1:5">
      <c r="A107">
        <v>19</v>
      </c>
      <c r="B107">
        <v>1</v>
      </c>
      <c r="C107" t="s">
        <v>1295</v>
      </c>
      <c r="D107" t="s">
        <v>26</v>
      </c>
      <c r="E107">
        <v>15.5</v>
      </c>
    </row>
    <row r="108" spans="1:5">
      <c r="A108">
        <v>19</v>
      </c>
      <c r="B108">
        <v>1</v>
      </c>
      <c r="C108" t="s">
        <v>1295</v>
      </c>
      <c r="D108" t="s">
        <v>26</v>
      </c>
      <c r="E108">
        <v>15</v>
      </c>
    </row>
    <row r="109" spans="1:5">
      <c r="A109">
        <v>19</v>
      </c>
      <c r="B109">
        <v>1</v>
      </c>
      <c r="C109" t="s">
        <v>1295</v>
      </c>
      <c r="D109" t="s">
        <v>26</v>
      </c>
      <c r="E109">
        <v>5.6</v>
      </c>
    </row>
    <row r="110" spans="1:5">
      <c r="A110">
        <v>19</v>
      </c>
      <c r="B110">
        <v>1</v>
      </c>
      <c r="C110" t="s">
        <v>1295</v>
      </c>
      <c r="D110" t="s">
        <v>26</v>
      </c>
      <c r="E110">
        <v>10</v>
      </c>
    </row>
    <row r="111" spans="1:5">
      <c r="A111">
        <v>19</v>
      </c>
      <c r="B111">
        <v>1</v>
      </c>
      <c r="C111" t="s">
        <v>1295</v>
      </c>
      <c r="D111" t="s">
        <v>26</v>
      </c>
      <c r="E111">
        <v>12.9</v>
      </c>
    </row>
    <row r="112" spans="1:5">
      <c r="A112">
        <v>19</v>
      </c>
      <c r="B112">
        <v>1</v>
      </c>
      <c r="C112" t="s">
        <v>1295</v>
      </c>
      <c r="D112" t="s">
        <v>26</v>
      </c>
      <c r="E112">
        <v>15.4</v>
      </c>
    </row>
    <row r="113" spans="1:5">
      <c r="A113">
        <v>19</v>
      </c>
      <c r="B113">
        <v>1</v>
      </c>
      <c r="C113" t="s">
        <v>1295</v>
      </c>
      <c r="D113" t="s">
        <v>26</v>
      </c>
      <c r="E113">
        <v>16.7</v>
      </c>
    </row>
    <row r="114" spans="1:5">
      <c r="A114">
        <v>19</v>
      </c>
      <c r="B114">
        <v>1</v>
      </c>
      <c r="C114" t="s">
        <v>1295</v>
      </c>
      <c r="D114" t="s">
        <v>26</v>
      </c>
      <c r="E114">
        <v>13.1</v>
      </c>
    </row>
    <row r="115" spans="1:5">
      <c r="A115">
        <v>19</v>
      </c>
      <c r="B115">
        <v>1</v>
      </c>
      <c r="C115" t="s">
        <v>1295</v>
      </c>
      <c r="D115" t="s">
        <v>26</v>
      </c>
      <c r="E115">
        <v>13.6</v>
      </c>
    </row>
    <row r="116" spans="1:5">
      <c r="A116">
        <v>19</v>
      </c>
      <c r="B116">
        <v>1</v>
      </c>
      <c r="C116" t="s">
        <v>1295</v>
      </c>
      <c r="D116" t="s">
        <v>26</v>
      </c>
      <c r="E116">
        <v>13</v>
      </c>
    </row>
    <row r="117" spans="1:5">
      <c r="A117">
        <v>19</v>
      </c>
      <c r="B117">
        <v>1</v>
      </c>
      <c r="C117" t="s">
        <v>1295</v>
      </c>
      <c r="D117" t="s">
        <v>26</v>
      </c>
      <c r="E117">
        <v>6.4</v>
      </c>
    </row>
    <row r="118" spans="1:5">
      <c r="A118">
        <v>19</v>
      </c>
      <c r="B118">
        <v>1</v>
      </c>
      <c r="C118" t="s">
        <v>1295</v>
      </c>
      <c r="D118" t="s">
        <v>26</v>
      </c>
      <c r="E118">
        <v>13.7</v>
      </c>
    </row>
    <row r="119" spans="1:5">
      <c r="A119">
        <v>19</v>
      </c>
      <c r="B119">
        <v>1</v>
      </c>
      <c r="C119" t="s">
        <v>1295</v>
      </c>
      <c r="D119" t="s">
        <v>26</v>
      </c>
      <c r="E119">
        <v>13</v>
      </c>
    </row>
    <row r="120" spans="1:5">
      <c r="A120">
        <v>19</v>
      </c>
      <c r="B120">
        <v>1</v>
      </c>
      <c r="C120" t="s">
        <v>1295</v>
      </c>
      <c r="D120" t="s">
        <v>26</v>
      </c>
      <c r="E120">
        <v>15.9</v>
      </c>
    </row>
    <row r="121" spans="1:5">
      <c r="A121">
        <v>19</v>
      </c>
      <c r="B121">
        <v>1</v>
      </c>
      <c r="C121" t="s">
        <v>1295</v>
      </c>
      <c r="D121" t="s">
        <v>26</v>
      </c>
      <c r="E121">
        <v>12.3</v>
      </c>
    </row>
    <row r="122" spans="1:5">
      <c r="A122">
        <v>19</v>
      </c>
      <c r="B122">
        <v>1</v>
      </c>
      <c r="C122" t="s">
        <v>1295</v>
      </c>
      <c r="D122" t="s">
        <v>26</v>
      </c>
      <c r="E122">
        <v>4.9000000000000004</v>
      </c>
    </row>
    <row r="123" spans="1:5">
      <c r="A123">
        <v>19</v>
      </c>
      <c r="B123">
        <v>1</v>
      </c>
      <c r="C123" t="s">
        <v>1295</v>
      </c>
      <c r="D123" t="s">
        <v>26</v>
      </c>
      <c r="E123">
        <v>11.7</v>
      </c>
    </row>
    <row r="124" spans="1:5">
      <c r="A124">
        <v>19</v>
      </c>
      <c r="B124">
        <v>1</v>
      </c>
      <c r="C124" t="s">
        <v>1295</v>
      </c>
      <c r="D124" t="s">
        <v>26</v>
      </c>
      <c r="E124">
        <v>14.5</v>
      </c>
    </row>
    <row r="125" spans="1:5">
      <c r="A125">
        <v>19</v>
      </c>
      <c r="B125">
        <v>1</v>
      </c>
      <c r="C125" t="s">
        <v>1295</v>
      </c>
      <c r="D125" t="s">
        <v>26</v>
      </c>
      <c r="E125">
        <v>14.6</v>
      </c>
    </row>
    <row r="126" spans="1:5">
      <c r="A126">
        <v>19</v>
      </c>
      <c r="B126">
        <v>1</v>
      </c>
      <c r="C126" t="s">
        <v>1295</v>
      </c>
      <c r="D126" t="s">
        <v>26</v>
      </c>
      <c r="E126">
        <v>7.6</v>
      </c>
    </row>
    <row r="127" spans="1:5">
      <c r="A127">
        <v>19</v>
      </c>
      <c r="B127">
        <v>1</v>
      </c>
      <c r="C127" t="s">
        <v>1295</v>
      </c>
      <c r="D127" t="s">
        <v>26</v>
      </c>
      <c r="E127">
        <v>15.5</v>
      </c>
    </row>
    <row r="128" spans="1:5">
      <c r="A128">
        <v>19</v>
      </c>
      <c r="B128">
        <v>1</v>
      </c>
      <c r="C128" t="s">
        <v>1295</v>
      </c>
      <c r="D128" t="s">
        <v>26</v>
      </c>
      <c r="E128">
        <v>13.6</v>
      </c>
    </row>
    <row r="129" spans="1:5">
      <c r="A129">
        <v>19</v>
      </c>
      <c r="B129">
        <v>1</v>
      </c>
      <c r="C129" t="s">
        <v>1295</v>
      </c>
      <c r="D129" t="s">
        <v>26</v>
      </c>
      <c r="E129">
        <v>9</v>
      </c>
    </row>
    <row r="130" spans="1:5">
      <c r="A130">
        <v>19</v>
      </c>
      <c r="B130">
        <v>1</v>
      </c>
      <c r="C130" t="s">
        <v>1295</v>
      </c>
      <c r="D130" t="s">
        <v>26</v>
      </c>
      <c r="E130">
        <v>13.8</v>
      </c>
    </row>
    <row r="131" spans="1:5">
      <c r="A131">
        <v>19</v>
      </c>
      <c r="B131">
        <v>1</v>
      </c>
      <c r="C131" t="s">
        <v>1295</v>
      </c>
      <c r="D131" t="s">
        <v>26</v>
      </c>
      <c r="E131">
        <v>13.3</v>
      </c>
    </row>
    <row r="132" spans="1:5">
      <c r="A132">
        <v>19</v>
      </c>
      <c r="B132">
        <v>1</v>
      </c>
      <c r="C132" t="s">
        <v>1295</v>
      </c>
      <c r="D132" t="s">
        <v>26</v>
      </c>
      <c r="E132">
        <v>13</v>
      </c>
    </row>
    <row r="133" spans="1:5">
      <c r="A133">
        <v>19</v>
      </c>
      <c r="B133">
        <v>1</v>
      </c>
      <c r="C133" t="s">
        <v>1295</v>
      </c>
      <c r="D133" t="s">
        <v>26</v>
      </c>
      <c r="E133">
        <v>13.4</v>
      </c>
    </row>
    <row r="134" spans="1:5">
      <c r="A134">
        <v>19</v>
      </c>
      <c r="B134">
        <v>1</v>
      </c>
      <c r="C134" t="s">
        <v>1295</v>
      </c>
      <c r="D134" t="s">
        <v>26</v>
      </c>
      <c r="E134">
        <v>14.3</v>
      </c>
    </row>
    <row r="135" spans="1:5">
      <c r="A135">
        <v>19</v>
      </c>
      <c r="B135">
        <v>1</v>
      </c>
      <c r="C135" t="s">
        <v>1295</v>
      </c>
      <c r="D135" t="s">
        <v>26</v>
      </c>
      <c r="E135">
        <v>12.9</v>
      </c>
    </row>
    <row r="136" spans="1:5">
      <c r="A136">
        <v>19</v>
      </c>
      <c r="B136">
        <v>1</v>
      </c>
      <c r="C136" t="s">
        <v>1295</v>
      </c>
      <c r="D136" t="s">
        <v>26</v>
      </c>
      <c r="E136">
        <v>15.3</v>
      </c>
    </row>
    <row r="137" spans="1:5">
      <c r="A137">
        <v>19</v>
      </c>
      <c r="B137">
        <v>1</v>
      </c>
      <c r="C137" t="s">
        <v>1295</v>
      </c>
      <c r="D137" t="s">
        <v>26</v>
      </c>
      <c r="E137">
        <v>13.5</v>
      </c>
    </row>
    <row r="138" spans="1:5">
      <c r="A138">
        <v>19</v>
      </c>
      <c r="B138">
        <v>1</v>
      </c>
      <c r="C138" t="s">
        <v>1295</v>
      </c>
      <c r="D138" t="s">
        <v>26</v>
      </c>
      <c r="E138">
        <v>15.7</v>
      </c>
    </row>
    <row r="139" spans="1:5">
      <c r="A139">
        <v>19</v>
      </c>
      <c r="B139">
        <v>1</v>
      </c>
      <c r="C139" t="s">
        <v>1295</v>
      </c>
      <c r="D139" t="s">
        <v>26</v>
      </c>
      <c r="E139">
        <v>13.5</v>
      </c>
    </row>
    <row r="140" spans="1:5">
      <c r="A140">
        <v>19</v>
      </c>
      <c r="B140">
        <v>1</v>
      </c>
      <c r="C140" t="s">
        <v>1295</v>
      </c>
      <c r="D140" t="s">
        <v>26</v>
      </c>
      <c r="E140">
        <v>15.1</v>
      </c>
    </row>
    <row r="141" spans="1:5">
      <c r="A141">
        <v>19</v>
      </c>
      <c r="B141">
        <v>1</v>
      </c>
      <c r="C141" t="s">
        <v>1295</v>
      </c>
      <c r="D141" t="s">
        <v>26</v>
      </c>
      <c r="E141">
        <v>11.5</v>
      </c>
    </row>
    <row r="142" spans="1:5">
      <c r="A142">
        <v>19</v>
      </c>
      <c r="B142">
        <v>1</v>
      </c>
      <c r="C142" t="s">
        <v>1295</v>
      </c>
      <c r="D142" t="s">
        <v>26</v>
      </c>
      <c r="E142">
        <v>14.5</v>
      </c>
    </row>
    <row r="143" spans="1:5">
      <c r="A143">
        <v>19</v>
      </c>
      <c r="B143">
        <v>1</v>
      </c>
      <c r="C143" t="s">
        <v>1295</v>
      </c>
      <c r="D143" t="s">
        <v>26</v>
      </c>
      <c r="E143">
        <v>14.5</v>
      </c>
    </row>
    <row r="144" spans="1:5">
      <c r="A144">
        <v>19</v>
      </c>
      <c r="B144">
        <v>1</v>
      </c>
      <c r="C144" t="s">
        <v>1295</v>
      </c>
      <c r="D144" t="s">
        <v>26</v>
      </c>
      <c r="E144">
        <v>13.3</v>
      </c>
    </row>
    <row r="145" spans="1:5">
      <c r="A145">
        <v>19</v>
      </c>
      <c r="B145">
        <v>1</v>
      </c>
      <c r="C145" t="s">
        <v>1295</v>
      </c>
      <c r="D145" t="s">
        <v>26</v>
      </c>
      <c r="E145">
        <v>12.6</v>
      </c>
    </row>
    <row r="146" spans="1:5">
      <c r="A146">
        <v>19</v>
      </c>
      <c r="B146">
        <v>1</v>
      </c>
      <c r="C146" t="s">
        <v>1295</v>
      </c>
      <c r="D146" t="s">
        <v>26</v>
      </c>
      <c r="E146">
        <v>12.3</v>
      </c>
    </row>
    <row r="147" spans="1:5">
      <c r="A147">
        <v>19</v>
      </c>
      <c r="B147">
        <v>1</v>
      </c>
      <c r="C147" t="s">
        <v>1295</v>
      </c>
      <c r="D147" t="s">
        <v>26</v>
      </c>
      <c r="E147">
        <v>12.3</v>
      </c>
    </row>
    <row r="148" spans="1:5">
      <c r="A148">
        <v>19</v>
      </c>
      <c r="B148">
        <v>1</v>
      </c>
      <c r="C148" t="s">
        <v>1295</v>
      </c>
      <c r="D148" t="s">
        <v>26</v>
      </c>
      <c r="E148">
        <v>17.5</v>
      </c>
    </row>
    <row r="149" spans="1:5">
      <c r="A149">
        <v>19</v>
      </c>
      <c r="B149">
        <v>1</v>
      </c>
      <c r="C149" t="s">
        <v>1295</v>
      </c>
      <c r="D149" t="s">
        <v>26</v>
      </c>
      <c r="E149">
        <v>14.3</v>
      </c>
    </row>
    <row r="150" spans="1:5">
      <c r="A150">
        <v>19</v>
      </c>
      <c r="B150">
        <v>1</v>
      </c>
      <c r="C150" t="s">
        <v>1295</v>
      </c>
      <c r="D150" t="s">
        <v>26</v>
      </c>
      <c r="E150">
        <v>9.6</v>
      </c>
    </row>
    <row r="151" spans="1:5">
      <c r="A151">
        <v>19</v>
      </c>
      <c r="B151">
        <v>1</v>
      </c>
      <c r="C151" t="s">
        <v>1295</v>
      </c>
      <c r="D151" t="s">
        <v>26</v>
      </c>
      <c r="E151">
        <v>13.1</v>
      </c>
    </row>
    <row r="152" spans="1:5">
      <c r="A152">
        <v>19</v>
      </c>
      <c r="B152">
        <v>1</v>
      </c>
      <c r="C152" t="s">
        <v>1295</v>
      </c>
      <c r="D152" t="s">
        <v>26</v>
      </c>
      <c r="E152">
        <v>12.8</v>
      </c>
    </row>
    <row r="153" spans="1:5">
      <c r="A153">
        <v>19</v>
      </c>
      <c r="B153">
        <v>1</v>
      </c>
      <c r="C153" t="s">
        <v>1295</v>
      </c>
      <c r="D153" t="s">
        <v>26</v>
      </c>
      <c r="E153">
        <v>10.3</v>
      </c>
    </row>
    <row r="154" spans="1:5">
      <c r="A154">
        <v>19</v>
      </c>
      <c r="B154">
        <v>1</v>
      </c>
      <c r="C154" t="s">
        <v>1295</v>
      </c>
      <c r="D154" t="s">
        <v>26</v>
      </c>
      <c r="E154">
        <v>13.1</v>
      </c>
    </row>
    <row r="155" spans="1:5">
      <c r="A155">
        <v>19</v>
      </c>
      <c r="B155">
        <v>1</v>
      </c>
      <c r="C155" t="s">
        <v>1295</v>
      </c>
      <c r="D155" t="s">
        <v>26</v>
      </c>
      <c r="E155">
        <v>13</v>
      </c>
    </row>
    <row r="156" spans="1:5">
      <c r="A156">
        <v>19</v>
      </c>
      <c r="B156">
        <v>1</v>
      </c>
      <c r="C156" t="s">
        <v>1295</v>
      </c>
      <c r="D156" t="s">
        <v>26</v>
      </c>
      <c r="E156">
        <v>1.8</v>
      </c>
    </row>
    <row r="157" spans="1:5">
      <c r="A157">
        <v>19</v>
      </c>
      <c r="B157">
        <v>1</v>
      </c>
      <c r="C157" t="s">
        <v>1295</v>
      </c>
      <c r="D157" t="s">
        <v>26</v>
      </c>
      <c r="E157">
        <v>12.5</v>
      </c>
    </row>
    <row r="158" spans="1:5">
      <c r="A158">
        <v>19</v>
      </c>
      <c r="B158">
        <v>1</v>
      </c>
      <c r="C158" t="s">
        <v>1295</v>
      </c>
      <c r="D158" t="s">
        <v>26</v>
      </c>
      <c r="E158">
        <v>14.5</v>
      </c>
    </row>
    <row r="159" spans="1:5">
      <c r="A159">
        <v>19</v>
      </c>
      <c r="B159">
        <v>1</v>
      </c>
      <c r="C159" t="s">
        <v>1295</v>
      </c>
      <c r="D159" t="s">
        <v>26</v>
      </c>
      <c r="E159">
        <v>15.2</v>
      </c>
    </row>
    <row r="160" spans="1:5">
      <c r="A160">
        <v>19</v>
      </c>
      <c r="B160">
        <v>1</v>
      </c>
      <c r="C160" t="s">
        <v>1295</v>
      </c>
      <c r="D160" t="s">
        <v>26</v>
      </c>
      <c r="E160">
        <v>13.7</v>
      </c>
    </row>
    <row r="161" spans="1:5">
      <c r="A161">
        <v>19</v>
      </c>
      <c r="B161">
        <v>1</v>
      </c>
      <c r="C161" t="s">
        <v>1295</v>
      </c>
      <c r="D161" t="s">
        <v>26</v>
      </c>
      <c r="E161">
        <v>7.6</v>
      </c>
    </row>
    <row r="162" spans="1:5">
      <c r="A162">
        <v>19</v>
      </c>
      <c r="B162">
        <v>1</v>
      </c>
      <c r="C162" t="s">
        <v>1295</v>
      </c>
      <c r="D162" t="s">
        <v>26</v>
      </c>
      <c r="E162">
        <v>13.5</v>
      </c>
    </row>
    <row r="163" spans="1:5">
      <c r="A163">
        <v>19</v>
      </c>
      <c r="B163">
        <v>1</v>
      </c>
      <c r="C163" t="s">
        <v>1295</v>
      </c>
      <c r="D163" t="s">
        <v>26</v>
      </c>
      <c r="E163">
        <v>13.3</v>
      </c>
    </row>
    <row r="164" spans="1:5">
      <c r="A164">
        <v>19</v>
      </c>
      <c r="B164">
        <v>1</v>
      </c>
      <c r="C164" t="s">
        <v>1295</v>
      </c>
      <c r="D164" t="s">
        <v>26</v>
      </c>
      <c r="E164">
        <v>12.3</v>
      </c>
    </row>
    <row r="165" spans="1:5">
      <c r="A165">
        <v>19</v>
      </c>
      <c r="B165">
        <v>1</v>
      </c>
      <c r="C165" t="s">
        <v>1295</v>
      </c>
      <c r="D165" t="s">
        <v>26</v>
      </c>
      <c r="E165">
        <v>13.5</v>
      </c>
    </row>
    <row r="166" spans="1:5">
      <c r="A166">
        <v>19</v>
      </c>
      <c r="B166">
        <v>1</v>
      </c>
      <c r="C166" t="s">
        <v>1295</v>
      </c>
      <c r="D166" t="s">
        <v>26</v>
      </c>
      <c r="E166">
        <v>13.2</v>
      </c>
    </row>
    <row r="167" spans="1:5">
      <c r="A167">
        <v>19</v>
      </c>
      <c r="B167">
        <v>1</v>
      </c>
      <c r="C167" t="s">
        <v>1295</v>
      </c>
      <c r="D167" t="s">
        <v>26</v>
      </c>
      <c r="E167">
        <v>12.5</v>
      </c>
    </row>
    <row r="168" spans="1:5">
      <c r="A168">
        <v>19</v>
      </c>
      <c r="B168">
        <v>1</v>
      </c>
      <c r="C168" t="s">
        <v>1295</v>
      </c>
      <c r="D168" t="s">
        <v>26</v>
      </c>
      <c r="E168">
        <v>14.5</v>
      </c>
    </row>
    <row r="169" spans="1:5">
      <c r="A169">
        <v>19</v>
      </c>
      <c r="B169">
        <v>1</v>
      </c>
      <c r="C169" t="s">
        <v>1295</v>
      </c>
      <c r="D169" t="s">
        <v>26</v>
      </c>
      <c r="E169">
        <v>11.9</v>
      </c>
    </row>
    <row r="170" spans="1:5">
      <c r="A170">
        <v>19</v>
      </c>
      <c r="B170">
        <v>1</v>
      </c>
      <c r="C170" t="s">
        <v>1295</v>
      </c>
      <c r="D170" t="s">
        <v>26</v>
      </c>
      <c r="E170">
        <v>9.1</v>
      </c>
    </row>
    <row r="171" spans="1:5">
      <c r="A171">
        <v>19</v>
      </c>
      <c r="B171">
        <v>1</v>
      </c>
      <c r="C171" t="s">
        <v>1295</v>
      </c>
      <c r="D171" t="s">
        <v>26</v>
      </c>
      <c r="E171">
        <v>12.2</v>
      </c>
    </row>
    <row r="172" spans="1:5">
      <c r="A172">
        <v>19</v>
      </c>
      <c r="B172">
        <v>1</v>
      </c>
      <c r="C172" t="s">
        <v>1295</v>
      </c>
      <c r="D172" t="s">
        <v>26</v>
      </c>
      <c r="E172">
        <v>2.9</v>
      </c>
    </row>
    <row r="173" spans="1:5">
      <c r="A173">
        <v>19</v>
      </c>
      <c r="B173">
        <v>1</v>
      </c>
      <c r="C173" t="s">
        <v>1295</v>
      </c>
      <c r="D173" t="s">
        <v>26</v>
      </c>
      <c r="E173">
        <v>1.5</v>
      </c>
    </row>
    <row r="174" spans="1:5">
      <c r="A174">
        <v>19</v>
      </c>
      <c r="B174">
        <v>1</v>
      </c>
      <c r="C174" t="s">
        <v>1295</v>
      </c>
      <c r="D174" t="s">
        <v>26</v>
      </c>
      <c r="E174">
        <v>1.3</v>
      </c>
    </row>
    <row r="175" spans="1:5">
      <c r="A175">
        <v>16</v>
      </c>
      <c r="B175">
        <v>1</v>
      </c>
      <c r="C175" t="s">
        <v>1298</v>
      </c>
      <c r="D175" t="s">
        <v>26</v>
      </c>
      <c r="E175">
        <v>2.1</v>
      </c>
    </row>
    <row r="176" spans="1:5">
      <c r="A176">
        <v>16</v>
      </c>
      <c r="B176">
        <v>1</v>
      </c>
      <c r="C176" t="s">
        <v>1298</v>
      </c>
      <c r="D176" t="s">
        <v>26</v>
      </c>
      <c r="E176">
        <v>1.6</v>
      </c>
    </row>
    <row r="177" spans="1:5">
      <c r="A177">
        <v>16</v>
      </c>
      <c r="B177">
        <v>1</v>
      </c>
      <c r="C177" t="s">
        <v>1298</v>
      </c>
      <c r="D177" t="s">
        <v>26</v>
      </c>
      <c r="E177">
        <v>1.5</v>
      </c>
    </row>
    <row r="178" spans="1:5">
      <c r="A178">
        <v>16</v>
      </c>
      <c r="B178">
        <v>1</v>
      </c>
      <c r="C178" t="s">
        <v>1298</v>
      </c>
      <c r="D178" t="s">
        <v>26</v>
      </c>
      <c r="E178">
        <v>1.7</v>
      </c>
    </row>
    <row r="179" spans="1:5">
      <c r="A179">
        <v>16</v>
      </c>
      <c r="B179">
        <v>1</v>
      </c>
      <c r="C179" t="s">
        <v>1298</v>
      </c>
      <c r="D179" t="s">
        <v>26</v>
      </c>
      <c r="E179">
        <v>11.6</v>
      </c>
    </row>
    <row r="180" spans="1:5">
      <c r="A180">
        <v>16</v>
      </c>
      <c r="B180">
        <v>1</v>
      </c>
      <c r="C180" t="s">
        <v>1298</v>
      </c>
      <c r="D180" t="s">
        <v>26</v>
      </c>
      <c r="E180">
        <v>13</v>
      </c>
    </row>
    <row r="181" spans="1:5">
      <c r="A181">
        <v>16</v>
      </c>
      <c r="B181">
        <v>1</v>
      </c>
      <c r="C181" t="s">
        <v>1298</v>
      </c>
      <c r="D181" t="s">
        <v>26</v>
      </c>
      <c r="E181">
        <v>14.5</v>
      </c>
    </row>
    <row r="182" spans="1:5">
      <c r="A182">
        <v>16</v>
      </c>
      <c r="B182">
        <v>1</v>
      </c>
      <c r="C182" t="s">
        <v>1298</v>
      </c>
      <c r="D182" t="s">
        <v>26</v>
      </c>
      <c r="E182">
        <v>12.5</v>
      </c>
    </row>
    <row r="183" spans="1:5">
      <c r="A183">
        <v>16</v>
      </c>
      <c r="B183">
        <v>1</v>
      </c>
      <c r="C183" t="s">
        <v>1298</v>
      </c>
      <c r="D183" t="s">
        <v>26</v>
      </c>
      <c r="E183">
        <v>13</v>
      </c>
    </row>
    <row r="184" spans="1:5">
      <c r="A184">
        <v>16</v>
      </c>
      <c r="B184">
        <v>1</v>
      </c>
      <c r="C184" t="s">
        <v>1298</v>
      </c>
      <c r="D184" t="s">
        <v>26</v>
      </c>
      <c r="E184">
        <v>11.6</v>
      </c>
    </row>
    <row r="185" spans="1:5">
      <c r="A185">
        <v>16</v>
      </c>
      <c r="B185">
        <v>1</v>
      </c>
      <c r="C185" t="s">
        <v>1298</v>
      </c>
      <c r="D185" t="s">
        <v>26</v>
      </c>
      <c r="E185">
        <v>11.4</v>
      </c>
    </row>
    <row r="186" spans="1:5">
      <c r="A186">
        <v>16</v>
      </c>
      <c r="B186">
        <v>1</v>
      </c>
      <c r="C186" t="s">
        <v>1298</v>
      </c>
      <c r="D186" t="s">
        <v>26</v>
      </c>
      <c r="E186">
        <v>8.9</v>
      </c>
    </row>
    <row r="187" spans="1:5">
      <c r="A187">
        <v>16</v>
      </c>
      <c r="B187">
        <v>1</v>
      </c>
      <c r="C187" t="s">
        <v>1298</v>
      </c>
      <c r="D187" t="s">
        <v>26</v>
      </c>
      <c r="E187">
        <v>8.1999999999999993</v>
      </c>
    </row>
    <row r="188" spans="1:5">
      <c r="A188">
        <v>16</v>
      </c>
      <c r="B188">
        <v>1</v>
      </c>
      <c r="C188" t="s">
        <v>1298</v>
      </c>
      <c r="D188" t="s">
        <v>26</v>
      </c>
      <c r="E188">
        <v>10.8</v>
      </c>
    </row>
    <row r="189" spans="1:5">
      <c r="A189">
        <v>16</v>
      </c>
      <c r="B189">
        <v>1</v>
      </c>
      <c r="C189" t="s">
        <v>1298</v>
      </c>
      <c r="D189" t="s">
        <v>26</v>
      </c>
      <c r="E189">
        <v>0.2</v>
      </c>
    </row>
    <row r="190" spans="1:5">
      <c r="A190">
        <v>16</v>
      </c>
      <c r="B190">
        <v>1</v>
      </c>
      <c r="C190" t="s">
        <v>1298</v>
      </c>
      <c r="D190" t="s">
        <v>26</v>
      </c>
      <c r="E190">
        <v>1.8</v>
      </c>
    </row>
    <row r="191" spans="1:5">
      <c r="A191">
        <v>16</v>
      </c>
      <c r="B191">
        <v>1</v>
      </c>
      <c r="C191" t="s">
        <v>1298</v>
      </c>
      <c r="D191" t="s">
        <v>26</v>
      </c>
      <c r="E191">
        <v>13</v>
      </c>
    </row>
    <row r="192" spans="1:5">
      <c r="A192">
        <v>16</v>
      </c>
      <c r="B192">
        <v>1</v>
      </c>
      <c r="C192" t="s">
        <v>1298</v>
      </c>
      <c r="D192" t="s">
        <v>26</v>
      </c>
      <c r="E192">
        <v>12.4</v>
      </c>
    </row>
    <row r="193" spans="1:5">
      <c r="A193">
        <v>16</v>
      </c>
      <c r="B193">
        <v>1</v>
      </c>
      <c r="C193" t="s">
        <v>1298</v>
      </c>
      <c r="D193" t="s">
        <v>26</v>
      </c>
      <c r="E193">
        <v>12.5</v>
      </c>
    </row>
    <row r="194" spans="1:5">
      <c r="A194">
        <v>16</v>
      </c>
      <c r="B194">
        <v>1</v>
      </c>
      <c r="C194" t="s">
        <v>1298</v>
      </c>
      <c r="D194" t="s">
        <v>26</v>
      </c>
      <c r="E194">
        <v>10.199999999999999</v>
      </c>
    </row>
    <row r="195" spans="1:5">
      <c r="A195">
        <v>16</v>
      </c>
      <c r="B195">
        <v>1</v>
      </c>
      <c r="C195" t="s">
        <v>1298</v>
      </c>
      <c r="D195" t="s">
        <v>26</v>
      </c>
      <c r="E195">
        <v>12.4</v>
      </c>
    </row>
    <row r="196" spans="1:5">
      <c r="A196">
        <v>16</v>
      </c>
      <c r="B196">
        <v>1</v>
      </c>
      <c r="C196" t="s">
        <v>1298</v>
      </c>
      <c r="D196" t="s">
        <v>26</v>
      </c>
      <c r="E196">
        <v>11.7</v>
      </c>
    </row>
    <row r="197" spans="1:5">
      <c r="A197">
        <v>16</v>
      </c>
      <c r="B197">
        <v>1</v>
      </c>
      <c r="C197" t="s">
        <v>1298</v>
      </c>
      <c r="D197" t="s">
        <v>26</v>
      </c>
      <c r="E197">
        <v>14</v>
      </c>
    </row>
    <row r="198" spans="1:5">
      <c r="A198">
        <v>16</v>
      </c>
      <c r="B198">
        <v>1</v>
      </c>
      <c r="C198" t="s">
        <v>1298</v>
      </c>
      <c r="D198" t="s">
        <v>26</v>
      </c>
      <c r="E198">
        <v>5.2</v>
      </c>
    </row>
    <row r="199" spans="1:5">
      <c r="A199">
        <v>16</v>
      </c>
      <c r="B199">
        <v>1</v>
      </c>
      <c r="C199" t="s">
        <v>1298</v>
      </c>
      <c r="D199" t="s">
        <v>26</v>
      </c>
      <c r="E199">
        <v>13.5</v>
      </c>
    </row>
    <row r="200" spans="1:5">
      <c r="A200">
        <v>16</v>
      </c>
      <c r="B200">
        <v>1</v>
      </c>
      <c r="C200" t="s">
        <v>1298</v>
      </c>
      <c r="D200" t="s">
        <v>26</v>
      </c>
      <c r="E200">
        <v>9.9</v>
      </c>
    </row>
    <row r="201" spans="1:5">
      <c r="A201">
        <v>16</v>
      </c>
      <c r="B201">
        <v>1</v>
      </c>
      <c r="C201" t="s">
        <v>1298</v>
      </c>
      <c r="D201" t="s">
        <v>26</v>
      </c>
      <c r="E201">
        <v>14.1</v>
      </c>
    </row>
    <row r="202" spans="1:5">
      <c r="A202">
        <v>16</v>
      </c>
      <c r="B202">
        <v>1</v>
      </c>
      <c r="C202" t="s">
        <v>1298</v>
      </c>
      <c r="D202" t="s">
        <v>26</v>
      </c>
      <c r="E202">
        <v>8.9</v>
      </c>
    </row>
    <row r="203" spans="1:5">
      <c r="A203">
        <v>16</v>
      </c>
      <c r="B203">
        <v>1</v>
      </c>
      <c r="C203" t="s">
        <v>1298</v>
      </c>
      <c r="D203" t="s">
        <v>26</v>
      </c>
      <c r="E203">
        <v>11.1</v>
      </c>
    </row>
    <row r="204" spans="1:5">
      <c r="A204">
        <v>16</v>
      </c>
      <c r="B204">
        <v>1</v>
      </c>
      <c r="C204" t="s">
        <v>1298</v>
      </c>
      <c r="D204" t="s">
        <v>26</v>
      </c>
      <c r="E204">
        <v>11.3</v>
      </c>
    </row>
    <row r="205" spans="1:5">
      <c r="A205">
        <v>16</v>
      </c>
      <c r="B205">
        <v>1</v>
      </c>
      <c r="C205" t="s">
        <v>1298</v>
      </c>
      <c r="D205" t="s">
        <v>26</v>
      </c>
      <c r="E205">
        <v>12.4</v>
      </c>
    </row>
    <row r="206" spans="1:5">
      <c r="A206">
        <v>16</v>
      </c>
      <c r="B206">
        <v>1</v>
      </c>
      <c r="C206" t="s">
        <v>1298</v>
      </c>
      <c r="D206" t="s">
        <v>26</v>
      </c>
      <c r="E206">
        <v>9.1999999999999993</v>
      </c>
    </row>
    <row r="207" spans="1:5">
      <c r="A207">
        <v>16</v>
      </c>
      <c r="B207">
        <v>1</v>
      </c>
      <c r="C207" t="s">
        <v>1298</v>
      </c>
      <c r="D207" t="s">
        <v>26</v>
      </c>
      <c r="E207">
        <v>10.5</v>
      </c>
    </row>
    <row r="208" spans="1:5">
      <c r="A208">
        <v>16</v>
      </c>
      <c r="B208">
        <v>1</v>
      </c>
      <c r="C208" t="s">
        <v>1298</v>
      </c>
      <c r="D208" t="s">
        <v>26</v>
      </c>
      <c r="E208">
        <v>13.2</v>
      </c>
    </row>
    <row r="209" spans="1:5">
      <c r="A209">
        <v>16</v>
      </c>
      <c r="B209">
        <v>1</v>
      </c>
      <c r="C209" t="s">
        <v>1298</v>
      </c>
      <c r="D209" t="s">
        <v>26</v>
      </c>
      <c r="E209">
        <v>13</v>
      </c>
    </row>
    <row r="210" spans="1:5">
      <c r="A210">
        <v>16</v>
      </c>
      <c r="B210">
        <v>1</v>
      </c>
      <c r="C210" t="s">
        <v>1298</v>
      </c>
      <c r="D210" t="s">
        <v>26</v>
      </c>
      <c r="E210">
        <v>10</v>
      </c>
    </row>
    <row r="211" spans="1:5">
      <c r="A211">
        <v>16</v>
      </c>
      <c r="B211">
        <v>1</v>
      </c>
      <c r="C211" t="s">
        <v>1298</v>
      </c>
      <c r="D211" t="s">
        <v>26</v>
      </c>
      <c r="E211">
        <v>9.3000000000000007</v>
      </c>
    </row>
    <row r="212" spans="1:5">
      <c r="A212">
        <v>16</v>
      </c>
      <c r="B212">
        <v>1</v>
      </c>
      <c r="C212" t="s">
        <v>1298</v>
      </c>
      <c r="D212" t="s">
        <v>26</v>
      </c>
      <c r="E212">
        <v>12.9</v>
      </c>
    </row>
    <row r="213" spans="1:5">
      <c r="A213">
        <v>16</v>
      </c>
      <c r="B213">
        <v>1</v>
      </c>
      <c r="C213" t="s">
        <v>1298</v>
      </c>
      <c r="D213" t="s">
        <v>26</v>
      </c>
      <c r="E213">
        <v>14</v>
      </c>
    </row>
    <row r="214" spans="1:5">
      <c r="A214">
        <v>16</v>
      </c>
      <c r="B214">
        <v>1</v>
      </c>
      <c r="C214" t="s">
        <v>1298</v>
      </c>
      <c r="D214" t="s">
        <v>26</v>
      </c>
      <c r="E214">
        <v>12</v>
      </c>
    </row>
    <row r="215" spans="1:5">
      <c r="A215">
        <v>16</v>
      </c>
      <c r="B215">
        <v>1</v>
      </c>
      <c r="C215" t="s">
        <v>1298</v>
      </c>
      <c r="D215" t="s">
        <v>26</v>
      </c>
      <c r="E215">
        <v>13.6</v>
      </c>
    </row>
    <row r="216" spans="1:5">
      <c r="A216">
        <v>16</v>
      </c>
      <c r="B216">
        <v>1</v>
      </c>
      <c r="C216" t="s">
        <v>1298</v>
      </c>
      <c r="D216" t="s">
        <v>26</v>
      </c>
      <c r="E216">
        <v>12</v>
      </c>
    </row>
    <row r="217" spans="1:5">
      <c r="A217">
        <v>16</v>
      </c>
      <c r="B217">
        <v>1</v>
      </c>
      <c r="C217" t="s">
        <v>1298</v>
      </c>
      <c r="D217" t="s">
        <v>26</v>
      </c>
      <c r="E217">
        <v>9.4</v>
      </c>
    </row>
    <row r="218" spans="1:5">
      <c r="A218">
        <v>16</v>
      </c>
      <c r="B218">
        <v>1</v>
      </c>
      <c r="C218" t="s">
        <v>1298</v>
      </c>
      <c r="D218" t="s">
        <v>26</v>
      </c>
      <c r="E218">
        <v>12.7</v>
      </c>
    </row>
    <row r="219" spans="1:5">
      <c r="A219">
        <v>16</v>
      </c>
      <c r="B219">
        <v>1</v>
      </c>
      <c r="C219" t="s">
        <v>1298</v>
      </c>
      <c r="D219" t="s">
        <v>26</v>
      </c>
      <c r="E219">
        <v>8.8000000000000007</v>
      </c>
    </row>
    <row r="220" spans="1:5">
      <c r="A220">
        <v>16</v>
      </c>
      <c r="B220">
        <v>1</v>
      </c>
      <c r="C220" t="s">
        <v>1298</v>
      </c>
      <c r="D220" t="s">
        <v>26</v>
      </c>
      <c r="E220">
        <v>13.2</v>
      </c>
    </row>
    <row r="221" spans="1:5">
      <c r="A221">
        <v>16</v>
      </c>
      <c r="B221">
        <v>1</v>
      </c>
      <c r="C221" t="s">
        <v>1298</v>
      </c>
      <c r="D221" t="s">
        <v>26</v>
      </c>
      <c r="E221">
        <v>12.5</v>
      </c>
    </row>
    <row r="222" spans="1:5">
      <c r="A222">
        <v>16</v>
      </c>
      <c r="B222">
        <v>1</v>
      </c>
      <c r="C222" t="s">
        <v>1298</v>
      </c>
      <c r="D222" t="s">
        <v>26</v>
      </c>
      <c r="E222">
        <v>12</v>
      </c>
    </row>
    <row r="223" spans="1:5">
      <c r="A223">
        <v>16</v>
      </c>
      <c r="B223">
        <v>1</v>
      </c>
      <c r="C223" t="s">
        <v>1298</v>
      </c>
      <c r="D223" t="s">
        <v>26</v>
      </c>
      <c r="E223">
        <v>9.4</v>
      </c>
    </row>
    <row r="224" spans="1:5">
      <c r="A224">
        <v>16</v>
      </c>
      <c r="B224">
        <v>1</v>
      </c>
      <c r="C224" t="s">
        <v>1298</v>
      </c>
      <c r="D224" t="s">
        <v>26</v>
      </c>
      <c r="E224">
        <v>11.6</v>
      </c>
    </row>
    <row r="225" spans="1:5">
      <c r="A225">
        <v>16</v>
      </c>
      <c r="B225">
        <v>1</v>
      </c>
      <c r="C225" t="s">
        <v>1298</v>
      </c>
      <c r="D225" t="s">
        <v>26</v>
      </c>
      <c r="E225">
        <v>12.9</v>
      </c>
    </row>
    <row r="226" spans="1:5">
      <c r="A226">
        <v>16</v>
      </c>
      <c r="B226">
        <v>1</v>
      </c>
      <c r="C226" t="s">
        <v>1298</v>
      </c>
      <c r="D226" t="s">
        <v>26</v>
      </c>
      <c r="E226">
        <v>13.5</v>
      </c>
    </row>
    <row r="227" spans="1:5">
      <c r="A227">
        <v>16</v>
      </c>
      <c r="B227">
        <v>1</v>
      </c>
      <c r="C227" t="s">
        <v>1298</v>
      </c>
      <c r="D227" t="s">
        <v>26</v>
      </c>
      <c r="E227">
        <v>10.9</v>
      </c>
    </row>
    <row r="228" spans="1:5">
      <c r="A228">
        <v>16</v>
      </c>
      <c r="B228">
        <v>1</v>
      </c>
      <c r="C228" t="s">
        <v>1298</v>
      </c>
      <c r="D228" t="s">
        <v>26</v>
      </c>
      <c r="E228">
        <v>9.3000000000000007</v>
      </c>
    </row>
    <row r="229" spans="1:5">
      <c r="A229">
        <v>16</v>
      </c>
      <c r="B229">
        <v>1</v>
      </c>
      <c r="C229" t="s">
        <v>1298</v>
      </c>
      <c r="D229" t="s">
        <v>26</v>
      </c>
      <c r="E229">
        <v>11.4</v>
      </c>
    </row>
    <row r="230" spans="1:5">
      <c r="A230">
        <v>16</v>
      </c>
      <c r="B230">
        <v>1</v>
      </c>
      <c r="C230" t="s">
        <v>1298</v>
      </c>
      <c r="D230" t="s">
        <v>26</v>
      </c>
      <c r="E230">
        <v>9.1999999999999993</v>
      </c>
    </row>
    <row r="231" spans="1:5">
      <c r="A231">
        <v>16</v>
      </c>
      <c r="B231">
        <v>1</v>
      </c>
      <c r="C231" t="s">
        <v>1298</v>
      </c>
      <c r="D231" t="s">
        <v>26</v>
      </c>
      <c r="E231">
        <v>5.0999999999999996</v>
      </c>
    </row>
    <row r="232" spans="1:5">
      <c r="A232">
        <v>16</v>
      </c>
      <c r="B232">
        <v>1</v>
      </c>
      <c r="C232" t="s">
        <v>1298</v>
      </c>
      <c r="D232" t="s">
        <v>26</v>
      </c>
      <c r="E232">
        <v>6.6</v>
      </c>
    </row>
    <row r="233" spans="1:5">
      <c r="A233">
        <v>16</v>
      </c>
      <c r="B233">
        <v>1</v>
      </c>
      <c r="C233" t="s">
        <v>1298</v>
      </c>
      <c r="D233" t="s">
        <v>26</v>
      </c>
      <c r="E233">
        <v>5.7</v>
      </c>
    </row>
    <row r="234" spans="1:5">
      <c r="A234">
        <v>16</v>
      </c>
      <c r="B234">
        <v>1</v>
      </c>
      <c r="C234" t="s">
        <v>1298</v>
      </c>
      <c r="D234" t="s">
        <v>26</v>
      </c>
      <c r="E234">
        <v>2.1</v>
      </c>
    </row>
    <row r="235" spans="1:5">
      <c r="A235">
        <v>8</v>
      </c>
      <c r="B235">
        <v>1</v>
      </c>
      <c r="C235" t="s">
        <v>1297</v>
      </c>
      <c r="D235" t="s">
        <v>58</v>
      </c>
      <c r="E235">
        <v>12.1</v>
      </c>
    </row>
    <row r="236" spans="1:5">
      <c r="A236">
        <v>8</v>
      </c>
      <c r="B236">
        <v>1</v>
      </c>
      <c r="C236" t="s">
        <v>1297</v>
      </c>
      <c r="D236" t="s">
        <v>58</v>
      </c>
      <c r="E236">
        <v>8.6999999999999993</v>
      </c>
    </row>
    <row r="237" spans="1:5">
      <c r="A237">
        <v>8</v>
      </c>
      <c r="B237">
        <v>1</v>
      </c>
      <c r="C237" t="s">
        <v>1297</v>
      </c>
      <c r="D237" t="s">
        <v>58</v>
      </c>
      <c r="E237">
        <v>15.1</v>
      </c>
    </row>
    <row r="238" spans="1:5">
      <c r="A238">
        <v>8</v>
      </c>
      <c r="B238">
        <v>1</v>
      </c>
      <c r="C238" t="s">
        <v>1297</v>
      </c>
      <c r="D238" t="s">
        <v>58</v>
      </c>
      <c r="E238">
        <v>13.9</v>
      </c>
    </row>
    <row r="239" spans="1:5">
      <c r="A239">
        <v>8</v>
      </c>
      <c r="B239">
        <v>1</v>
      </c>
      <c r="C239" t="s">
        <v>1297</v>
      </c>
      <c r="D239" t="s">
        <v>58</v>
      </c>
      <c r="E239">
        <v>16.5</v>
      </c>
    </row>
    <row r="240" spans="1:5">
      <c r="A240">
        <v>8</v>
      </c>
      <c r="B240">
        <v>1</v>
      </c>
      <c r="C240" t="s">
        <v>1297</v>
      </c>
      <c r="D240" t="s">
        <v>58</v>
      </c>
      <c r="E240">
        <v>18.100000000000001</v>
      </c>
    </row>
    <row r="241" spans="1:5">
      <c r="A241">
        <v>8</v>
      </c>
      <c r="B241">
        <v>1</v>
      </c>
      <c r="C241" t="s">
        <v>1297</v>
      </c>
      <c r="D241" t="s">
        <v>58</v>
      </c>
      <c r="E241">
        <v>12.4</v>
      </c>
    </row>
    <row r="242" spans="1:5">
      <c r="A242">
        <v>8</v>
      </c>
      <c r="B242">
        <v>1</v>
      </c>
      <c r="C242" t="s">
        <v>1297</v>
      </c>
      <c r="D242" t="s">
        <v>58</v>
      </c>
      <c r="E242">
        <v>13.1</v>
      </c>
    </row>
    <row r="243" spans="1:5">
      <c r="A243">
        <v>8</v>
      </c>
      <c r="B243">
        <v>1</v>
      </c>
      <c r="C243" t="s">
        <v>1297</v>
      </c>
      <c r="D243" t="s">
        <v>58</v>
      </c>
      <c r="E243">
        <v>10.199999999999999</v>
      </c>
    </row>
    <row r="244" spans="1:5">
      <c r="A244">
        <v>8</v>
      </c>
      <c r="B244">
        <v>1</v>
      </c>
      <c r="C244" t="s">
        <v>1297</v>
      </c>
      <c r="D244" t="s">
        <v>58</v>
      </c>
      <c r="E244">
        <v>15.2</v>
      </c>
    </row>
    <row r="245" spans="1:5">
      <c r="A245">
        <v>8</v>
      </c>
      <c r="B245">
        <v>1</v>
      </c>
      <c r="C245" t="s">
        <v>1297</v>
      </c>
      <c r="D245" t="s">
        <v>58</v>
      </c>
      <c r="E245">
        <v>15.1</v>
      </c>
    </row>
    <row r="246" spans="1:5">
      <c r="A246">
        <v>8</v>
      </c>
      <c r="B246">
        <v>1</v>
      </c>
      <c r="C246" t="s">
        <v>1297</v>
      </c>
      <c r="D246" t="s">
        <v>58</v>
      </c>
      <c r="E246">
        <v>17.3</v>
      </c>
    </row>
    <row r="247" spans="1:5">
      <c r="A247">
        <v>8</v>
      </c>
      <c r="B247">
        <v>1</v>
      </c>
      <c r="C247" t="s">
        <v>1297</v>
      </c>
      <c r="D247" t="s">
        <v>58</v>
      </c>
      <c r="E247">
        <v>12.4</v>
      </c>
    </row>
    <row r="248" spans="1:5">
      <c r="A248">
        <v>8</v>
      </c>
      <c r="B248">
        <v>1</v>
      </c>
      <c r="C248" t="s">
        <v>1297</v>
      </c>
      <c r="D248" t="s">
        <v>58</v>
      </c>
      <c r="E248">
        <v>11.3</v>
      </c>
    </row>
    <row r="249" spans="1:5">
      <c r="A249">
        <v>8</v>
      </c>
      <c r="B249">
        <v>1</v>
      </c>
      <c r="C249" t="s">
        <v>1297</v>
      </c>
      <c r="D249" t="s">
        <v>58</v>
      </c>
      <c r="E249">
        <v>12.9</v>
      </c>
    </row>
    <row r="250" spans="1:5">
      <c r="A250">
        <v>19</v>
      </c>
      <c r="B250">
        <v>1</v>
      </c>
      <c r="C250" t="s">
        <v>1295</v>
      </c>
      <c r="D250" t="s">
        <v>58</v>
      </c>
      <c r="E250">
        <v>15.5</v>
      </c>
    </row>
    <row r="251" spans="1:5">
      <c r="A251">
        <v>19</v>
      </c>
      <c r="B251">
        <v>1</v>
      </c>
      <c r="C251" t="s">
        <v>1295</v>
      </c>
      <c r="D251" t="s">
        <v>58</v>
      </c>
      <c r="E251">
        <v>22.8</v>
      </c>
    </row>
    <row r="252" spans="1:5">
      <c r="A252">
        <v>19</v>
      </c>
      <c r="B252">
        <v>1</v>
      </c>
      <c r="C252" t="s">
        <v>1295</v>
      </c>
      <c r="D252" t="s">
        <v>58</v>
      </c>
      <c r="E252">
        <v>11.2</v>
      </c>
    </row>
    <row r="253" spans="1:5">
      <c r="A253">
        <v>19</v>
      </c>
      <c r="B253">
        <v>1</v>
      </c>
      <c r="C253" t="s">
        <v>1295</v>
      </c>
      <c r="D253" t="s">
        <v>58</v>
      </c>
      <c r="E253">
        <v>9.6</v>
      </c>
    </row>
    <row r="254" spans="1:5">
      <c r="A254">
        <v>17</v>
      </c>
      <c r="B254">
        <v>1</v>
      </c>
      <c r="C254" t="s">
        <v>1299</v>
      </c>
      <c r="D254" t="s">
        <v>26</v>
      </c>
      <c r="E254">
        <v>14.7</v>
      </c>
    </row>
    <row r="255" spans="1:5">
      <c r="A255">
        <v>17</v>
      </c>
      <c r="B255">
        <v>1</v>
      </c>
      <c r="C255" t="s">
        <v>1299</v>
      </c>
      <c r="D255" t="s">
        <v>26</v>
      </c>
      <c r="E255">
        <v>11.2</v>
      </c>
    </row>
    <row r="256" spans="1:5">
      <c r="A256">
        <v>17</v>
      </c>
      <c r="B256">
        <v>1</v>
      </c>
      <c r="C256" t="s">
        <v>1299</v>
      </c>
      <c r="D256" t="s">
        <v>26</v>
      </c>
      <c r="E256">
        <v>13.9</v>
      </c>
    </row>
    <row r="257" spans="1:5">
      <c r="A257">
        <v>17</v>
      </c>
      <c r="B257">
        <v>1</v>
      </c>
      <c r="C257" t="s">
        <v>1299</v>
      </c>
      <c r="D257" t="s">
        <v>26</v>
      </c>
      <c r="E257">
        <v>10.3</v>
      </c>
    </row>
    <row r="258" spans="1:5">
      <c r="A258">
        <v>17</v>
      </c>
      <c r="B258">
        <v>1</v>
      </c>
      <c r="C258" t="s">
        <v>1299</v>
      </c>
      <c r="D258" t="s">
        <v>26</v>
      </c>
      <c r="E258">
        <v>11.1</v>
      </c>
    </row>
    <row r="259" spans="1:5">
      <c r="A259">
        <v>17</v>
      </c>
      <c r="B259">
        <v>1</v>
      </c>
      <c r="C259" t="s">
        <v>1299</v>
      </c>
      <c r="D259" t="s">
        <v>26</v>
      </c>
      <c r="E259">
        <v>12</v>
      </c>
    </row>
    <row r="260" spans="1:5">
      <c r="A260">
        <v>17</v>
      </c>
      <c r="B260">
        <v>1</v>
      </c>
      <c r="C260" t="s">
        <v>1299</v>
      </c>
      <c r="D260" t="s">
        <v>26</v>
      </c>
      <c r="E260">
        <v>12.4</v>
      </c>
    </row>
    <row r="261" spans="1:5">
      <c r="A261">
        <v>17</v>
      </c>
      <c r="B261">
        <v>1</v>
      </c>
      <c r="C261" t="s">
        <v>1299</v>
      </c>
      <c r="D261" t="s">
        <v>26</v>
      </c>
      <c r="E261">
        <v>11.9</v>
      </c>
    </row>
    <row r="262" spans="1:5">
      <c r="A262">
        <v>17</v>
      </c>
      <c r="B262">
        <v>1</v>
      </c>
      <c r="C262" t="s">
        <v>1299</v>
      </c>
      <c r="D262" t="s">
        <v>26</v>
      </c>
      <c r="E262">
        <v>11.3</v>
      </c>
    </row>
    <row r="263" spans="1:5">
      <c r="A263">
        <v>17</v>
      </c>
      <c r="B263">
        <v>1</v>
      </c>
      <c r="C263" t="s">
        <v>1299</v>
      </c>
      <c r="D263" t="s">
        <v>26</v>
      </c>
      <c r="E263">
        <v>12.8</v>
      </c>
    </row>
    <row r="264" spans="1:5">
      <c r="A264">
        <v>17</v>
      </c>
      <c r="B264">
        <v>1</v>
      </c>
      <c r="C264" t="s">
        <v>1299</v>
      </c>
      <c r="D264" t="s">
        <v>26</v>
      </c>
      <c r="E264">
        <v>13.1</v>
      </c>
    </row>
    <row r="265" spans="1:5">
      <c r="A265">
        <v>17</v>
      </c>
      <c r="B265">
        <v>1</v>
      </c>
      <c r="C265" t="s">
        <v>1299</v>
      </c>
      <c r="D265" t="s">
        <v>26</v>
      </c>
      <c r="E265">
        <v>2.1</v>
      </c>
    </row>
    <row r="266" spans="1:5">
      <c r="A266">
        <v>17</v>
      </c>
      <c r="B266">
        <v>1</v>
      </c>
      <c r="C266" t="s">
        <v>1299</v>
      </c>
      <c r="D266" t="s">
        <v>26</v>
      </c>
      <c r="E266">
        <v>3.1</v>
      </c>
    </row>
    <row r="267" spans="1:5">
      <c r="A267">
        <v>17</v>
      </c>
      <c r="B267">
        <v>1</v>
      </c>
      <c r="C267" t="s">
        <v>1299</v>
      </c>
      <c r="D267" t="s">
        <v>26</v>
      </c>
      <c r="E267">
        <v>2.2000000000000002</v>
      </c>
    </row>
    <row r="268" spans="1:5">
      <c r="A268">
        <v>17</v>
      </c>
      <c r="B268">
        <v>1</v>
      </c>
      <c r="C268" t="s">
        <v>1299</v>
      </c>
      <c r="D268" t="s">
        <v>26</v>
      </c>
      <c r="E268">
        <v>13</v>
      </c>
    </row>
    <row r="269" spans="1:5">
      <c r="A269">
        <v>17</v>
      </c>
      <c r="B269">
        <v>1</v>
      </c>
      <c r="C269" t="s">
        <v>1299</v>
      </c>
      <c r="D269" t="s">
        <v>26</v>
      </c>
      <c r="E269">
        <v>4.4000000000000004</v>
      </c>
    </row>
    <row r="270" spans="1:5">
      <c r="A270">
        <v>17</v>
      </c>
      <c r="B270">
        <v>1</v>
      </c>
      <c r="C270" t="s">
        <v>1299</v>
      </c>
      <c r="D270" t="s">
        <v>26</v>
      </c>
      <c r="E270">
        <v>11.7</v>
      </c>
    </row>
    <row r="271" spans="1:5">
      <c r="A271">
        <v>17</v>
      </c>
      <c r="B271">
        <v>1</v>
      </c>
      <c r="C271" t="s">
        <v>1299</v>
      </c>
      <c r="D271" t="s">
        <v>26</v>
      </c>
      <c r="E271">
        <v>11.2</v>
      </c>
    </row>
    <row r="272" spans="1:5">
      <c r="A272">
        <v>17</v>
      </c>
      <c r="B272">
        <v>1</v>
      </c>
      <c r="C272" t="s">
        <v>1299</v>
      </c>
      <c r="D272" t="s">
        <v>26</v>
      </c>
      <c r="E272">
        <v>12.6</v>
      </c>
    </row>
    <row r="273" spans="1:5">
      <c r="A273">
        <v>17</v>
      </c>
      <c r="B273">
        <v>1</v>
      </c>
      <c r="C273" t="s">
        <v>1299</v>
      </c>
      <c r="D273" t="s">
        <v>26</v>
      </c>
      <c r="E273">
        <v>14.2</v>
      </c>
    </row>
    <row r="274" spans="1:5">
      <c r="A274">
        <v>17</v>
      </c>
      <c r="B274">
        <v>1</v>
      </c>
      <c r="C274" t="s">
        <v>1299</v>
      </c>
      <c r="D274" t="s">
        <v>26</v>
      </c>
      <c r="E274">
        <v>13.8</v>
      </c>
    </row>
    <row r="275" spans="1:5">
      <c r="A275">
        <v>17</v>
      </c>
      <c r="B275">
        <v>1</v>
      </c>
      <c r="C275" t="s">
        <v>1299</v>
      </c>
      <c r="D275" t="s">
        <v>26</v>
      </c>
      <c r="E275">
        <v>13.1</v>
      </c>
    </row>
    <row r="276" spans="1:5">
      <c r="A276">
        <v>17</v>
      </c>
      <c r="B276">
        <v>1</v>
      </c>
      <c r="C276" t="s">
        <v>1299</v>
      </c>
      <c r="D276" t="s">
        <v>26</v>
      </c>
      <c r="E276">
        <v>12.8</v>
      </c>
    </row>
    <row r="277" spans="1:5">
      <c r="A277">
        <v>17</v>
      </c>
      <c r="B277">
        <v>1</v>
      </c>
      <c r="C277" t="s">
        <v>1299</v>
      </c>
      <c r="D277" t="s">
        <v>26</v>
      </c>
      <c r="E277">
        <v>113.2</v>
      </c>
    </row>
    <row r="278" spans="1:5">
      <c r="A278">
        <v>17</v>
      </c>
      <c r="B278">
        <v>1</v>
      </c>
      <c r="C278" t="s">
        <v>1299</v>
      </c>
      <c r="D278" t="s">
        <v>26</v>
      </c>
      <c r="E278">
        <v>15.5</v>
      </c>
    </row>
    <row r="279" spans="1:5">
      <c r="A279">
        <v>17</v>
      </c>
      <c r="B279">
        <v>1</v>
      </c>
      <c r="C279" t="s">
        <v>1299</v>
      </c>
      <c r="D279" t="s">
        <v>26</v>
      </c>
      <c r="E279">
        <v>1.5</v>
      </c>
    </row>
    <row r="280" spans="1:5">
      <c r="A280">
        <v>17</v>
      </c>
      <c r="B280">
        <v>1</v>
      </c>
      <c r="C280" t="s">
        <v>1299</v>
      </c>
      <c r="D280" t="s">
        <v>26</v>
      </c>
      <c r="E280">
        <v>13.3</v>
      </c>
    </row>
    <row r="281" spans="1:5">
      <c r="A281">
        <v>17</v>
      </c>
      <c r="B281">
        <v>1</v>
      </c>
      <c r="C281" t="s">
        <v>1299</v>
      </c>
      <c r="D281" t="s">
        <v>26</v>
      </c>
      <c r="E281">
        <v>11.6</v>
      </c>
    </row>
    <row r="282" spans="1:5">
      <c r="A282">
        <v>17</v>
      </c>
      <c r="B282">
        <v>1</v>
      </c>
      <c r="C282" t="s">
        <v>1299</v>
      </c>
      <c r="D282" t="s">
        <v>26</v>
      </c>
      <c r="E282">
        <v>4.5</v>
      </c>
    </row>
    <row r="283" spans="1:5">
      <c r="A283">
        <v>17</v>
      </c>
      <c r="B283">
        <v>1</v>
      </c>
      <c r="C283" t="s">
        <v>1299</v>
      </c>
      <c r="D283" t="s">
        <v>26</v>
      </c>
      <c r="E283">
        <v>2</v>
      </c>
    </row>
    <row r="284" spans="1:5">
      <c r="A284">
        <v>17</v>
      </c>
      <c r="B284">
        <v>1</v>
      </c>
      <c r="C284" t="s">
        <v>1299</v>
      </c>
      <c r="D284" t="s">
        <v>26</v>
      </c>
      <c r="E284">
        <v>10.3</v>
      </c>
    </row>
    <row r="285" spans="1:5">
      <c r="A285">
        <v>17</v>
      </c>
      <c r="B285">
        <v>1</v>
      </c>
      <c r="C285" t="s">
        <v>1299</v>
      </c>
      <c r="D285" t="s">
        <v>26</v>
      </c>
      <c r="E285">
        <v>9.6</v>
      </c>
    </row>
    <row r="286" spans="1:5">
      <c r="A286">
        <v>17</v>
      </c>
      <c r="B286">
        <v>1</v>
      </c>
      <c r="C286" t="s">
        <v>1299</v>
      </c>
      <c r="D286" t="s">
        <v>58</v>
      </c>
      <c r="E286">
        <v>35.4</v>
      </c>
    </row>
    <row r="287" spans="1:5">
      <c r="A287">
        <v>17</v>
      </c>
      <c r="B287">
        <v>1</v>
      </c>
      <c r="C287" t="s">
        <v>1299</v>
      </c>
      <c r="D287" t="s">
        <v>58</v>
      </c>
      <c r="E287">
        <v>15.3</v>
      </c>
    </row>
    <row r="288" spans="1:5">
      <c r="A288">
        <v>17</v>
      </c>
      <c r="B288">
        <v>1</v>
      </c>
      <c r="C288" t="s">
        <v>1299</v>
      </c>
      <c r="D288" t="s">
        <v>58</v>
      </c>
      <c r="E288">
        <v>19.899999999999999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94"/>
  <sheetViews>
    <sheetView topLeftCell="A659" workbookViewId="0">
      <selection activeCell="A675" sqref="A675"/>
    </sheetView>
  </sheetViews>
  <sheetFormatPr defaultColWidth="8.77734375" defaultRowHeight="14.4"/>
  <cols>
    <col min="1" max="1" width="27.6640625" customWidth="1"/>
    <col min="2" max="2" width="12.88671875" customWidth="1"/>
  </cols>
  <sheetData>
    <row r="1" spans="1:4">
      <c r="A1" t="s">
        <v>18</v>
      </c>
      <c r="B1" t="s">
        <v>19</v>
      </c>
      <c r="C1" t="s">
        <v>97</v>
      </c>
      <c r="D1" t="s">
        <v>98</v>
      </c>
    </row>
    <row r="2" spans="1:4">
      <c r="A2" t="s">
        <v>99</v>
      </c>
      <c r="B2">
        <v>1</v>
      </c>
      <c r="C2" s="1">
        <v>117870</v>
      </c>
      <c r="D2" s="1">
        <v>117870</v>
      </c>
    </row>
    <row r="3" spans="1:4">
      <c r="A3" t="s">
        <v>100</v>
      </c>
      <c r="B3">
        <v>10</v>
      </c>
      <c r="C3" s="1">
        <v>117233</v>
      </c>
      <c r="D3" s="1">
        <v>117233</v>
      </c>
    </row>
    <row r="4" spans="1:4">
      <c r="A4" t="s">
        <v>101</v>
      </c>
      <c r="B4">
        <v>100</v>
      </c>
      <c r="C4" s="1">
        <v>101010</v>
      </c>
      <c r="D4" s="1">
        <v>1674631</v>
      </c>
    </row>
    <row r="5" spans="1:4">
      <c r="A5" t="s">
        <v>30</v>
      </c>
      <c r="B5">
        <v>1000</v>
      </c>
      <c r="C5" s="1">
        <v>145971</v>
      </c>
      <c r="D5" s="1">
        <v>234476</v>
      </c>
    </row>
    <row r="6" spans="1:4">
      <c r="A6" t="s">
        <v>102</v>
      </c>
      <c r="B6">
        <v>1001</v>
      </c>
      <c r="C6" s="1">
        <v>157367</v>
      </c>
      <c r="D6" s="1">
        <v>145770</v>
      </c>
    </row>
    <row r="7" spans="1:4">
      <c r="A7" t="s">
        <v>31</v>
      </c>
      <c r="B7">
        <v>1002</v>
      </c>
      <c r="C7" s="1">
        <v>500911</v>
      </c>
      <c r="D7" s="1">
        <v>1311362</v>
      </c>
    </row>
    <row r="8" spans="1:4">
      <c r="A8" t="s">
        <v>103</v>
      </c>
      <c r="B8">
        <v>1003</v>
      </c>
      <c r="C8" s="1">
        <v>801</v>
      </c>
      <c r="D8" s="1">
        <v>801</v>
      </c>
    </row>
    <row r="9" spans="1:4">
      <c r="A9" t="s">
        <v>104</v>
      </c>
      <c r="B9">
        <v>1004</v>
      </c>
      <c r="C9" s="1">
        <v>145940</v>
      </c>
      <c r="D9">
        <v>145940</v>
      </c>
    </row>
    <row r="10" spans="1:4">
      <c r="A10" t="s">
        <v>105</v>
      </c>
      <c r="B10">
        <v>1005</v>
      </c>
      <c r="C10" s="1">
        <v>234031</v>
      </c>
      <c r="D10" s="1">
        <v>234031</v>
      </c>
    </row>
    <row r="11" spans="1:4">
      <c r="A11" t="s">
        <v>106</v>
      </c>
      <c r="B11">
        <v>1006</v>
      </c>
      <c r="C11" s="1" t="s">
        <v>25</v>
      </c>
      <c r="D11" s="1" t="s">
        <v>25</v>
      </c>
    </row>
    <row r="12" spans="1:4">
      <c r="A12" t="s">
        <v>107</v>
      </c>
      <c r="B12">
        <v>1007</v>
      </c>
      <c r="C12" s="1">
        <v>1213408</v>
      </c>
      <c r="D12" s="1">
        <v>1104085</v>
      </c>
    </row>
    <row r="13" spans="1:4">
      <c r="A13" t="s">
        <v>108</v>
      </c>
      <c r="B13">
        <v>1008</v>
      </c>
      <c r="C13" s="1">
        <v>426006</v>
      </c>
      <c r="D13" s="1">
        <v>426006</v>
      </c>
    </row>
    <row r="14" spans="1:4">
      <c r="A14" t="s">
        <v>109</v>
      </c>
      <c r="B14">
        <v>1009</v>
      </c>
      <c r="C14" s="1">
        <v>495077</v>
      </c>
      <c r="D14" s="1">
        <v>145795</v>
      </c>
    </row>
    <row r="15" spans="1:4">
      <c r="A15" t="s">
        <v>110</v>
      </c>
      <c r="B15">
        <v>101</v>
      </c>
      <c r="C15" s="1">
        <v>156101</v>
      </c>
      <c r="D15" s="1">
        <v>156101</v>
      </c>
    </row>
    <row r="16" spans="1:4">
      <c r="A16" t="s">
        <v>111</v>
      </c>
      <c r="B16">
        <v>1010</v>
      </c>
      <c r="C16" s="1">
        <v>107551</v>
      </c>
      <c r="D16" s="1">
        <v>107551</v>
      </c>
    </row>
    <row r="17" spans="1:4">
      <c r="A17" t="s">
        <v>112</v>
      </c>
      <c r="B17">
        <v>1011</v>
      </c>
      <c r="C17" s="1">
        <v>1337</v>
      </c>
      <c r="D17" s="1">
        <v>1337</v>
      </c>
    </row>
    <row r="18" spans="1:4">
      <c r="A18" t="s">
        <v>113</v>
      </c>
      <c r="B18">
        <v>1012</v>
      </c>
      <c r="C18" s="1">
        <v>146142</v>
      </c>
      <c r="D18" s="1">
        <v>146142</v>
      </c>
    </row>
    <row r="19" spans="1:4">
      <c r="A19" t="s">
        <v>114</v>
      </c>
      <c r="B19">
        <v>1013</v>
      </c>
      <c r="C19" s="1">
        <v>558</v>
      </c>
      <c r="D19" s="1">
        <v>558</v>
      </c>
    </row>
    <row r="20" spans="1:4">
      <c r="A20" t="s">
        <v>115</v>
      </c>
      <c r="B20">
        <v>1014</v>
      </c>
      <c r="C20" s="1">
        <v>1135</v>
      </c>
      <c r="D20" s="1">
        <v>1135</v>
      </c>
    </row>
    <row r="21" spans="1:4">
      <c r="A21" t="s">
        <v>116</v>
      </c>
      <c r="B21">
        <v>1015</v>
      </c>
      <c r="C21" s="1">
        <v>123083</v>
      </c>
      <c r="D21" s="1">
        <v>123083</v>
      </c>
    </row>
    <row r="22" spans="1:4">
      <c r="A22" t="s">
        <v>117</v>
      </c>
      <c r="B22">
        <v>1016</v>
      </c>
      <c r="C22" s="1">
        <v>129361</v>
      </c>
      <c r="D22" s="1">
        <v>129361</v>
      </c>
    </row>
    <row r="23" spans="1:4">
      <c r="A23" t="s">
        <v>118</v>
      </c>
      <c r="B23">
        <v>1017</v>
      </c>
      <c r="C23" s="1">
        <v>157563</v>
      </c>
      <c r="D23" s="1">
        <v>607421</v>
      </c>
    </row>
    <row r="24" spans="1:4">
      <c r="A24" t="s">
        <v>119</v>
      </c>
      <c r="B24">
        <v>1018</v>
      </c>
      <c r="C24" s="1">
        <v>254626</v>
      </c>
      <c r="D24" s="1">
        <v>130349</v>
      </c>
    </row>
    <row r="25" spans="1:4">
      <c r="A25" t="s">
        <v>120</v>
      </c>
      <c r="B25">
        <v>1019</v>
      </c>
      <c r="C25" s="1">
        <v>145869</v>
      </c>
      <c r="D25" s="1">
        <v>145869</v>
      </c>
    </row>
    <row r="26" spans="1:4">
      <c r="A26" t="s">
        <v>121</v>
      </c>
      <c r="B26">
        <v>102</v>
      </c>
      <c r="C26" s="1">
        <v>100908</v>
      </c>
      <c r="D26" s="1">
        <v>100908</v>
      </c>
    </row>
    <row r="27" spans="1:4">
      <c r="A27" t="s">
        <v>122</v>
      </c>
      <c r="B27">
        <v>1020</v>
      </c>
      <c r="C27" s="1">
        <v>103078</v>
      </c>
      <c r="D27" s="1">
        <v>103077</v>
      </c>
    </row>
    <row r="28" spans="1:4">
      <c r="A28" t="s">
        <v>123</v>
      </c>
      <c r="B28">
        <v>1021</v>
      </c>
      <c r="C28" s="1">
        <v>131188</v>
      </c>
      <c r="D28" s="1">
        <v>131188</v>
      </c>
    </row>
    <row r="29" spans="1:4">
      <c r="A29" t="s">
        <v>124</v>
      </c>
      <c r="B29">
        <v>1022</v>
      </c>
      <c r="C29" s="1">
        <v>156445</v>
      </c>
      <c r="D29" s="1">
        <v>156445</v>
      </c>
    </row>
    <row r="30" spans="1:4">
      <c r="A30" t="s">
        <v>125</v>
      </c>
      <c r="B30">
        <v>1023</v>
      </c>
      <c r="C30" s="1">
        <v>119053</v>
      </c>
      <c r="D30" s="1">
        <v>119053</v>
      </c>
    </row>
    <row r="31" spans="1:4">
      <c r="A31" t="s">
        <v>126</v>
      </c>
      <c r="B31">
        <v>1024</v>
      </c>
      <c r="C31" s="1">
        <v>138820</v>
      </c>
      <c r="D31" s="1">
        <v>138820</v>
      </c>
    </row>
    <row r="32" spans="1:4">
      <c r="A32" t="s">
        <v>127</v>
      </c>
      <c r="B32">
        <v>1025</v>
      </c>
      <c r="C32" s="1">
        <v>138824</v>
      </c>
      <c r="D32" s="1">
        <v>138824</v>
      </c>
    </row>
    <row r="33" spans="1:4">
      <c r="A33" t="s">
        <v>128</v>
      </c>
      <c r="B33">
        <v>1026</v>
      </c>
      <c r="C33" s="1">
        <v>423171</v>
      </c>
      <c r="D33" s="1">
        <v>152905</v>
      </c>
    </row>
    <row r="34" spans="1:4">
      <c r="A34" t="s">
        <v>129</v>
      </c>
      <c r="B34">
        <v>1027</v>
      </c>
      <c r="C34" s="1">
        <v>101941</v>
      </c>
      <c r="D34" s="1">
        <v>101941</v>
      </c>
    </row>
    <row r="35" spans="1:4">
      <c r="A35" t="s">
        <v>130</v>
      </c>
      <c r="B35">
        <v>1028</v>
      </c>
      <c r="C35" s="1">
        <v>101942</v>
      </c>
      <c r="D35" s="1">
        <v>416573</v>
      </c>
    </row>
    <row r="36" spans="1:4">
      <c r="A36" t="s">
        <v>131</v>
      </c>
      <c r="B36">
        <v>1029</v>
      </c>
      <c r="C36" s="1">
        <v>130733</v>
      </c>
      <c r="D36" s="1">
        <v>130733</v>
      </c>
    </row>
    <row r="37" spans="1:4">
      <c r="A37" t="s">
        <v>132</v>
      </c>
      <c r="B37">
        <v>103</v>
      </c>
      <c r="C37" s="1">
        <v>152230</v>
      </c>
      <c r="D37" s="1">
        <v>152230</v>
      </c>
    </row>
    <row r="38" spans="1:4">
      <c r="A38" t="s">
        <v>133</v>
      </c>
      <c r="B38">
        <v>1030</v>
      </c>
      <c r="C38" s="1">
        <v>236786</v>
      </c>
      <c r="D38" s="1">
        <v>236786</v>
      </c>
    </row>
    <row r="39" spans="1:4">
      <c r="A39" t="s">
        <v>134</v>
      </c>
      <c r="B39">
        <v>1031</v>
      </c>
      <c r="C39" s="1">
        <v>110377</v>
      </c>
      <c r="D39" s="1">
        <v>110377</v>
      </c>
    </row>
    <row r="40" spans="1:4">
      <c r="A40" t="s">
        <v>135</v>
      </c>
      <c r="B40">
        <v>1032</v>
      </c>
      <c r="C40" s="1">
        <v>102409</v>
      </c>
      <c r="D40" s="1">
        <v>102409</v>
      </c>
    </row>
    <row r="41" spans="1:4">
      <c r="A41" t="s">
        <v>136</v>
      </c>
      <c r="B41">
        <v>1033</v>
      </c>
      <c r="C41" s="1">
        <v>102407</v>
      </c>
      <c r="D41" s="1">
        <v>102407</v>
      </c>
    </row>
    <row r="42" spans="1:4">
      <c r="A42" t="s">
        <v>137</v>
      </c>
      <c r="B42">
        <v>1034</v>
      </c>
      <c r="C42" s="1">
        <v>110524</v>
      </c>
      <c r="D42" s="1">
        <v>110524</v>
      </c>
    </row>
    <row r="43" spans="1:4">
      <c r="A43" t="s">
        <v>138</v>
      </c>
      <c r="B43">
        <v>1035</v>
      </c>
      <c r="C43" s="1">
        <v>102411</v>
      </c>
      <c r="D43" s="1">
        <v>102411</v>
      </c>
    </row>
    <row r="44" spans="1:4">
      <c r="A44" t="s">
        <v>139</v>
      </c>
      <c r="B44">
        <v>1036</v>
      </c>
      <c r="C44" s="1">
        <v>154965</v>
      </c>
      <c r="D44" s="1">
        <v>154965</v>
      </c>
    </row>
    <row r="45" spans="1:4">
      <c r="A45" t="s">
        <v>140</v>
      </c>
      <c r="B45">
        <v>1037</v>
      </c>
      <c r="C45" s="1">
        <v>136435</v>
      </c>
      <c r="D45" s="1">
        <v>136340</v>
      </c>
    </row>
    <row r="46" spans="1:4">
      <c r="A46" t="s">
        <v>141</v>
      </c>
      <c r="B46">
        <v>1038</v>
      </c>
      <c r="C46" s="1">
        <v>130578</v>
      </c>
      <c r="D46" s="1">
        <v>130578</v>
      </c>
    </row>
    <row r="47" spans="1:4">
      <c r="A47" t="s">
        <v>142</v>
      </c>
      <c r="B47">
        <v>1039</v>
      </c>
      <c r="C47" s="1">
        <v>141918</v>
      </c>
      <c r="D47" s="1">
        <v>141918</v>
      </c>
    </row>
    <row r="48" spans="1:4">
      <c r="A48" t="s">
        <v>143</v>
      </c>
      <c r="B48">
        <v>104</v>
      </c>
      <c r="C48" s="1">
        <v>135328</v>
      </c>
      <c r="D48" s="1">
        <v>135328</v>
      </c>
    </row>
    <row r="49" spans="1:4">
      <c r="A49" t="s">
        <v>144</v>
      </c>
      <c r="B49">
        <v>1040</v>
      </c>
      <c r="C49" s="1">
        <v>540657</v>
      </c>
      <c r="D49" s="1">
        <v>140300</v>
      </c>
    </row>
    <row r="50" spans="1:4">
      <c r="A50" t="s">
        <v>145</v>
      </c>
      <c r="B50">
        <v>1041</v>
      </c>
      <c r="C50" s="1">
        <v>183265</v>
      </c>
      <c r="D50" s="1">
        <v>129810</v>
      </c>
    </row>
    <row r="51" spans="1:4">
      <c r="A51" t="s">
        <v>146</v>
      </c>
      <c r="B51">
        <v>1042</v>
      </c>
      <c r="C51" s="1">
        <v>333964</v>
      </c>
      <c r="D51">
        <v>333964</v>
      </c>
    </row>
    <row r="52" spans="1:4">
      <c r="A52" t="s">
        <v>147</v>
      </c>
      <c r="B52">
        <v>1043</v>
      </c>
      <c r="C52" s="1">
        <v>131136</v>
      </c>
      <c r="D52" s="1">
        <v>131136</v>
      </c>
    </row>
    <row r="53" spans="1:4">
      <c r="A53" t="s">
        <v>148</v>
      </c>
      <c r="B53">
        <v>1044</v>
      </c>
      <c r="C53" s="1">
        <v>233981</v>
      </c>
      <c r="D53" s="1">
        <v>101395</v>
      </c>
    </row>
    <row r="54" spans="1:4">
      <c r="A54" t="s">
        <v>149</v>
      </c>
      <c r="B54">
        <v>1045</v>
      </c>
      <c r="C54" s="1">
        <v>119036</v>
      </c>
      <c r="D54" s="1">
        <v>382319</v>
      </c>
    </row>
    <row r="55" spans="1:4">
      <c r="A55" t="s">
        <v>150</v>
      </c>
      <c r="B55">
        <v>1046</v>
      </c>
      <c r="C55" s="1">
        <v>102047</v>
      </c>
      <c r="D55" s="1">
        <v>971</v>
      </c>
    </row>
    <row r="56" spans="1:4">
      <c r="A56" t="s">
        <v>151</v>
      </c>
      <c r="B56">
        <v>1047</v>
      </c>
      <c r="C56" s="1">
        <v>102901</v>
      </c>
      <c r="D56" s="1">
        <v>160450</v>
      </c>
    </row>
    <row r="57" spans="1:4">
      <c r="A57" t="s">
        <v>152</v>
      </c>
      <c r="B57">
        <v>1048</v>
      </c>
      <c r="C57" s="1">
        <v>124446</v>
      </c>
      <c r="D57" s="1">
        <v>111047</v>
      </c>
    </row>
    <row r="58" spans="1:4">
      <c r="A58" t="s">
        <v>153</v>
      </c>
      <c r="B58">
        <v>1049</v>
      </c>
      <c r="C58" s="1">
        <v>147027</v>
      </c>
      <c r="D58" s="1">
        <v>103102</v>
      </c>
    </row>
    <row r="59" spans="1:4">
      <c r="A59" t="s">
        <v>154</v>
      </c>
      <c r="B59">
        <v>105</v>
      </c>
      <c r="C59" s="1">
        <v>101876</v>
      </c>
      <c r="D59" s="1">
        <v>101395</v>
      </c>
    </row>
    <row r="60" spans="1:4">
      <c r="A60" t="s">
        <v>155</v>
      </c>
      <c r="B60">
        <v>1050</v>
      </c>
      <c r="C60" s="1">
        <v>180996</v>
      </c>
      <c r="D60" s="1">
        <v>102857</v>
      </c>
    </row>
    <row r="61" spans="1:4">
      <c r="A61" t="s">
        <v>156</v>
      </c>
      <c r="B61">
        <v>1051</v>
      </c>
      <c r="C61" s="1">
        <v>130503</v>
      </c>
      <c r="D61" s="1">
        <v>107568</v>
      </c>
    </row>
    <row r="62" spans="1:4">
      <c r="A62" t="s">
        <v>157</v>
      </c>
      <c r="B62">
        <v>1052</v>
      </c>
      <c r="C62" s="1">
        <v>124860</v>
      </c>
      <c r="D62" s="1">
        <v>102726</v>
      </c>
    </row>
    <row r="63" spans="1:4">
      <c r="A63" t="s">
        <v>158</v>
      </c>
      <c r="B63">
        <v>1053</v>
      </c>
      <c r="C63" s="1">
        <v>102986</v>
      </c>
      <c r="D63" s="1">
        <v>391173</v>
      </c>
    </row>
    <row r="64" spans="1:4">
      <c r="A64" t="s">
        <v>159</v>
      </c>
      <c r="B64">
        <v>1054</v>
      </c>
      <c r="C64" s="1">
        <v>103894</v>
      </c>
      <c r="D64" s="1">
        <v>139306</v>
      </c>
    </row>
    <row r="65" spans="1:4">
      <c r="A65" t="s">
        <v>160</v>
      </c>
      <c r="B65">
        <v>1055</v>
      </c>
      <c r="C65" s="1">
        <v>136073</v>
      </c>
      <c r="D65" s="1">
        <v>367567</v>
      </c>
    </row>
    <row r="66" spans="1:4">
      <c r="A66" t="s">
        <v>161</v>
      </c>
      <c r="B66">
        <v>1056</v>
      </c>
      <c r="C66" s="1">
        <v>130977</v>
      </c>
      <c r="D66" s="1">
        <v>160451</v>
      </c>
    </row>
    <row r="67" spans="1:4">
      <c r="A67" t="s">
        <v>162</v>
      </c>
      <c r="B67">
        <v>1057</v>
      </c>
      <c r="C67" s="1">
        <v>110415</v>
      </c>
      <c r="D67" s="1">
        <v>161</v>
      </c>
    </row>
    <row r="68" spans="1:4">
      <c r="A68" t="s">
        <v>163</v>
      </c>
      <c r="B68">
        <v>1058</v>
      </c>
      <c r="C68" s="1">
        <v>101446</v>
      </c>
      <c r="D68" s="1">
        <v>140231</v>
      </c>
    </row>
    <row r="69" spans="1:4">
      <c r="A69" t="s">
        <v>164</v>
      </c>
      <c r="B69">
        <v>1059</v>
      </c>
      <c r="C69" s="1">
        <v>110412</v>
      </c>
      <c r="D69" s="1">
        <v>2088</v>
      </c>
    </row>
    <row r="70" spans="1:4">
      <c r="A70" t="s">
        <v>165</v>
      </c>
      <c r="B70">
        <v>106</v>
      </c>
      <c r="C70" s="1">
        <v>101877</v>
      </c>
      <c r="D70" s="1">
        <v>117389</v>
      </c>
    </row>
    <row r="71" spans="1:4">
      <c r="A71" t="s">
        <v>166</v>
      </c>
      <c r="B71">
        <v>1060</v>
      </c>
      <c r="C71" s="1">
        <v>129491</v>
      </c>
      <c r="D71" s="1">
        <v>117377</v>
      </c>
    </row>
    <row r="72" spans="1:4">
      <c r="A72" t="s">
        <v>167</v>
      </c>
      <c r="B72">
        <v>1061</v>
      </c>
      <c r="C72" s="1">
        <v>138451</v>
      </c>
      <c r="D72" s="1">
        <v>111230</v>
      </c>
    </row>
    <row r="73" spans="1:4">
      <c r="A73" t="s">
        <v>168</v>
      </c>
      <c r="B73">
        <v>1062</v>
      </c>
      <c r="C73" s="1">
        <v>110408</v>
      </c>
      <c r="D73" s="1">
        <v>117382</v>
      </c>
    </row>
    <row r="74" spans="1:4">
      <c r="A74" t="s">
        <v>169</v>
      </c>
      <c r="B74">
        <v>1063</v>
      </c>
      <c r="C74" s="1">
        <v>101471</v>
      </c>
      <c r="D74" s="1">
        <v>159858</v>
      </c>
    </row>
    <row r="75" spans="1:4">
      <c r="A75" t="s">
        <v>170</v>
      </c>
      <c r="B75">
        <v>1064</v>
      </c>
      <c r="C75" s="1">
        <v>138549</v>
      </c>
      <c r="D75" s="1">
        <v>111125</v>
      </c>
    </row>
    <row r="76" spans="1:4">
      <c r="A76" t="s">
        <v>171</v>
      </c>
      <c r="B76">
        <v>1065</v>
      </c>
      <c r="C76" s="1">
        <v>136256</v>
      </c>
      <c r="D76" s="1">
        <v>423713</v>
      </c>
    </row>
    <row r="77" spans="1:4">
      <c r="A77" t="s">
        <v>172</v>
      </c>
      <c r="B77">
        <v>1066</v>
      </c>
      <c r="C77" s="1">
        <v>1537972</v>
      </c>
      <c r="D77" s="1">
        <v>111744</v>
      </c>
    </row>
    <row r="78" spans="1:4">
      <c r="A78" t="s">
        <v>173</v>
      </c>
      <c r="B78">
        <v>1067</v>
      </c>
      <c r="C78" s="1">
        <v>101770</v>
      </c>
      <c r="D78" s="1">
        <v>111745</v>
      </c>
    </row>
    <row r="79" spans="1:4">
      <c r="A79" t="s">
        <v>174</v>
      </c>
      <c r="B79">
        <v>107</v>
      </c>
      <c r="C79" s="1">
        <v>102864</v>
      </c>
      <c r="D79" s="1">
        <v>111746</v>
      </c>
    </row>
    <row r="80" spans="1:4">
      <c r="A80" t="s">
        <v>175</v>
      </c>
      <c r="B80">
        <v>1071</v>
      </c>
      <c r="C80" s="1">
        <v>228</v>
      </c>
      <c r="D80" s="1">
        <v>129609</v>
      </c>
    </row>
    <row r="81" spans="1:4">
      <c r="A81" t="s">
        <v>176</v>
      </c>
      <c r="B81">
        <v>1073</v>
      </c>
      <c r="C81" s="1">
        <v>196133</v>
      </c>
      <c r="D81" s="1">
        <v>328633</v>
      </c>
    </row>
    <row r="82" spans="1:4">
      <c r="A82" t="s">
        <v>177</v>
      </c>
      <c r="B82">
        <v>1074</v>
      </c>
      <c r="C82" s="1">
        <v>101395</v>
      </c>
      <c r="D82" s="1">
        <v>131244</v>
      </c>
    </row>
    <row r="83" spans="1:4">
      <c r="A83" t="s">
        <v>178</v>
      </c>
      <c r="B83">
        <v>1075</v>
      </c>
      <c r="C83" s="1">
        <v>101400</v>
      </c>
      <c r="D83" s="1">
        <v>130185</v>
      </c>
    </row>
    <row r="84" spans="1:4">
      <c r="A84" t="s">
        <v>179</v>
      </c>
      <c r="B84">
        <v>1076</v>
      </c>
      <c r="C84" s="1">
        <v>939</v>
      </c>
      <c r="D84" s="1">
        <v>131198</v>
      </c>
    </row>
    <row r="85" spans="1:4">
      <c r="A85" t="s">
        <v>180</v>
      </c>
      <c r="B85">
        <v>1077</v>
      </c>
      <c r="C85" s="1">
        <v>256</v>
      </c>
      <c r="D85" s="1">
        <v>2038</v>
      </c>
    </row>
    <row r="86" spans="1:4">
      <c r="A86" t="s">
        <v>181</v>
      </c>
      <c r="B86">
        <v>1078</v>
      </c>
      <c r="C86" s="1">
        <v>382319</v>
      </c>
      <c r="D86" s="1">
        <v>2041</v>
      </c>
    </row>
    <row r="87" spans="1:4">
      <c r="A87" t="s">
        <v>182</v>
      </c>
      <c r="B87">
        <v>1079</v>
      </c>
      <c r="C87" s="1">
        <v>101520</v>
      </c>
      <c r="D87" s="1">
        <v>124966</v>
      </c>
    </row>
    <row r="88" spans="1:4">
      <c r="A88" t="s">
        <v>183</v>
      </c>
      <c r="B88">
        <v>108</v>
      </c>
      <c r="C88" s="1">
        <v>102866</v>
      </c>
      <c r="D88" s="1">
        <v>123111</v>
      </c>
    </row>
    <row r="89" spans="1:4">
      <c r="A89" t="s">
        <v>184</v>
      </c>
      <c r="B89">
        <v>1080</v>
      </c>
      <c r="C89" s="1">
        <v>129404</v>
      </c>
      <c r="D89" s="1">
        <v>157947</v>
      </c>
    </row>
    <row r="90" spans="1:4">
      <c r="A90" t="s">
        <v>185</v>
      </c>
      <c r="B90">
        <v>1081</v>
      </c>
      <c r="C90" s="1">
        <v>971</v>
      </c>
      <c r="D90" s="1">
        <v>133133</v>
      </c>
    </row>
    <row r="91" spans="1:4">
      <c r="A91" t="s">
        <v>186</v>
      </c>
      <c r="B91">
        <v>1082</v>
      </c>
      <c r="C91" s="1" t="s">
        <v>25</v>
      </c>
      <c r="D91" s="1">
        <v>133133</v>
      </c>
    </row>
    <row r="92" spans="1:4">
      <c r="A92" t="s">
        <v>187</v>
      </c>
      <c r="B92">
        <v>1083</v>
      </c>
      <c r="C92" s="1">
        <v>155467</v>
      </c>
      <c r="D92" s="1">
        <v>134282</v>
      </c>
    </row>
    <row r="93" spans="1:4">
      <c r="A93" t="s">
        <v>188</v>
      </c>
      <c r="B93">
        <v>1084</v>
      </c>
      <c r="C93" s="1">
        <v>129251</v>
      </c>
      <c r="D93" s="1">
        <v>132072</v>
      </c>
    </row>
    <row r="94" spans="1:4">
      <c r="A94" t="s">
        <v>189</v>
      </c>
      <c r="B94">
        <v>1085</v>
      </c>
      <c r="C94" s="1">
        <v>203863</v>
      </c>
      <c r="D94" s="1">
        <v>103828</v>
      </c>
    </row>
    <row r="95" spans="1:4">
      <c r="A95" t="s">
        <v>190</v>
      </c>
      <c r="B95">
        <v>1086</v>
      </c>
      <c r="C95" s="1">
        <v>138552</v>
      </c>
      <c r="D95" s="1">
        <v>103862</v>
      </c>
    </row>
    <row r="96" spans="1:4">
      <c r="A96" t="s">
        <v>191</v>
      </c>
      <c r="B96">
        <v>1087</v>
      </c>
      <c r="C96" s="1">
        <v>110911</v>
      </c>
      <c r="D96" s="1">
        <v>333162</v>
      </c>
    </row>
    <row r="97" spans="1:4">
      <c r="A97" t="s">
        <v>192</v>
      </c>
      <c r="B97">
        <v>1088</v>
      </c>
      <c r="C97" s="1">
        <v>137871</v>
      </c>
      <c r="D97" s="1">
        <v>151541</v>
      </c>
    </row>
    <row r="98" spans="1:4">
      <c r="A98" t="s">
        <v>193</v>
      </c>
      <c r="B98">
        <v>1089</v>
      </c>
      <c r="C98" s="1">
        <v>129291</v>
      </c>
      <c r="D98" s="1">
        <v>1268</v>
      </c>
    </row>
    <row r="99" spans="1:4">
      <c r="A99" t="s">
        <v>194</v>
      </c>
      <c r="B99">
        <v>109</v>
      </c>
      <c r="C99" s="1">
        <v>102870</v>
      </c>
      <c r="D99" s="1">
        <v>1271</v>
      </c>
    </row>
    <row r="100" spans="1:4">
      <c r="A100" t="s">
        <v>195</v>
      </c>
      <c r="B100">
        <v>1090</v>
      </c>
      <c r="C100" s="1">
        <v>156360</v>
      </c>
      <c r="D100" s="1">
        <v>142516</v>
      </c>
    </row>
    <row r="101" spans="1:4">
      <c r="A101" t="s">
        <v>196</v>
      </c>
      <c r="B101">
        <v>1091</v>
      </c>
      <c r="C101" s="1">
        <v>130097</v>
      </c>
      <c r="D101" s="1">
        <v>144165</v>
      </c>
    </row>
    <row r="102" spans="1:4">
      <c r="A102" t="s">
        <v>197</v>
      </c>
      <c r="B102">
        <v>1092</v>
      </c>
      <c r="C102" s="1">
        <v>423301</v>
      </c>
      <c r="D102" s="1">
        <v>151541</v>
      </c>
    </row>
    <row r="103" spans="1:4">
      <c r="A103" t="s">
        <v>198</v>
      </c>
      <c r="B103">
        <v>1093</v>
      </c>
      <c r="C103" s="1">
        <v>101898</v>
      </c>
      <c r="D103" s="1">
        <v>101898</v>
      </c>
    </row>
    <row r="104" spans="1:4">
      <c r="A104" t="s">
        <v>199</v>
      </c>
      <c r="B104">
        <v>1094</v>
      </c>
      <c r="C104" s="1">
        <v>156384</v>
      </c>
      <c r="D104" s="1">
        <v>130871</v>
      </c>
    </row>
    <row r="105" spans="1:4">
      <c r="A105" t="s">
        <v>200</v>
      </c>
      <c r="B105">
        <v>1095</v>
      </c>
      <c r="C105" s="1">
        <v>157829</v>
      </c>
      <c r="D105" s="1">
        <v>110609</v>
      </c>
    </row>
    <row r="106" spans="1:4">
      <c r="A106" t="s">
        <v>201</v>
      </c>
      <c r="B106">
        <v>1096</v>
      </c>
      <c r="C106" s="1">
        <v>157827</v>
      </c>
      <c r="D106" s="1">
        <v>110616</v>
      </c>
    </row>
    <row r="107" spans="1:4">
      <c r="A107" t="s">
        <v>202</v>
      </c>
      <c r="B107">
        <v>1097</v>
      </c>
      <c r="C107" s="1">
        <v>110620</v>
      </c>
      <c r="D107" s="1">
        <v>110620</v>
      </c>
    </row>
    <row r="108" spans="1:4">
      <c r="A108" t="s">
        <v>203</v>
      </c>
      <c r="B108">
        <v>1098</v>
      </c>
      <c r="C108" s="1">
        <v>103802</v>
      </c>
      <c r="D108" s="1">
        <v>103802</v>
      </c>
    </row>
    <row r="109" spans="1:4">
      <c r="A109" t="s">
        <v>204</v>
      </c>
      <c r="B109">
        <v>1099</v>
      </c>
      <c r="C109" s="1">
        <v>332927</v>
      </c>
      <c r="D109" s="1">
        <v>332927</v>
      </c>
    </row>
    <row r="110" spans="1:4">
      <c r="A110" t="s">
        <v>205</v>
      </c>
      <c r="B110">
        <v>11</v>
      </c>
      <c r="C110" s="1">
        <v>558260</v>
      </c>
      <c r="D110" s="1">
        <v>117929</v>
      </c>
    </row>
    <row r="111" spans="1:4">
      <c r="A111" t="s">
        <v>206</v>
      </c>
      <c r="B111">
        <v>110</v>
      </c>
      <c r="C111" s="1">
        <v>101690</v>
      </c>
      <c r="D111" s="1">
        <v>101690</v>
      </c>
    </row>
    <row r="112" spans="1:4">
      <c r="A112" t="s">
        <v>207</v>
      </c>
      <c r="B112">
        <v>1100</v>
      </c>
      <c r="C112" s="1">
        <v>181969</v>
      </c>
      <c r="D112" s="1">
        <v>181969</v>
      </c>
    </row>
    <row r="113" spans="1:4">
      <c r="A113" t="s">
        <v>208</v>
      </c>
      <c r="B113">
        <v>1101</v>
      </c>
      <c r="C113" s="1">
        <v>102838</v>
      </c>
      <c r="D113" s="1">
        <v>423709</v>
      </c>
    </row>
    <row r="114" spans="1:4">
      <c r="A114" t="s">
        <v>209</v>
      </c>
      <c r="B114">
        <v>1102</v>
      </c>
      <c r="C114" s="1">
        <v>129708</v>
      </c>
      <c r="D114" s="1">
        <v>129708</v>
      </c>
    </row>
    <row r="115" spans="1:4">
      <c r="A115" t="s">
        <v>210</v>
      </c>
      <c r="B115">
        <v>1103</v>
      </c>
      <c r="C115" s="1">
        <v>101950</v>
      </c>
      <c r="D115" s="1">
        <v>101950</v>
      </c>
    </row>
    <row r="116" spans="1:4">
      <c r="A116" t="s">
        <v>211</v>
      </c>
      <c r="B116">
        <v>1104</v>
      </c>
      <c r="C116" s="1">
        <v>102416</v>
      </c>
      <c r="D116" s="1">
        <v>102416</v>
      </c>
    </row>
    <row r="117" spans="1:4">
      <c r="A117" t="s">
        <v>212</v>
      </c>
      <c r="B117">
        <v>1105</v>
      </c>
      <c r="C117" s="1">
        <v>130602</v>
      </c>
      <c r="D117" s="1">
        <v>130602</v>
      </c>
    </row>
    <row r="118" spans="1:4">
      <c r="A118" t="s">
        <v>213</v>
      </c>
      <c r="B118">
        <v>1106</v>
      </c>
      <c r="C118" s="1">
        <v>101430</v>
      </c>
      <c r="D118" s="1">
        <v>101430</v>
      </c>
    </row>
    <row r="119" spans="1:4">
      <c r="A119" t="s">
        <v>214</v>
      </c>
      <c r="B119">
        <v>1107</v>
      </c>
      <c r="C119" s="1">
        <v>101447</v>
      </c>
      <c r="D119" s="1">
        <v>101447</v>
      </c>
    </row>
    <row r="120" spans="1:4">
      <c r="A120" t="s">
        <v>215</v>
      </c>
      <c r="B120">
        <v>1108</v>
      </c>
      <c r="C120" s="1">
        <v>156226</v>
      </c>
      <c r="D120" s="1">
        <v>156226</v>
      </c>
    </row>
    <row r="121" spans="1:4">
      <c r="A121" t="s">
        <v>216</v>
      </c>
      <c r="B121">
        <v>1109</v>
      </c>
      <c r="C121" s="1">
        <v>131493</v>
      </c>
      <c r="D121" s="1">
        <v>131493</v>
      </c>
    </row>
    <row r="122" spans="1:4">
      <c r="A122" t="s">
        <v>217</v>
      </c>
      <c r="B122">
        <v>111</v>
      </c>
      <c r="C122" s="1">
        <v>101691</v>
      </c>
      <c r="D122" s="1">
        <v>101691</v>
      </c>
    </row>
    <row r="123" spans="1:4">
      <c r="A123" t="s">
        <v>218</v>
      </c>
      <c r="B123">
        <v>1110</v>
      </c>
      <c r="C123" s="1">
        <v>142001</v>
      </c>
      <c r="D123" s="1">
        <v>142001</v>
      </c>
    </row>
    <row r="124" spans="1:4">
      <c r="A124" t="s">
        <v>219</v>
      </c>
      <c r="B124">
        <v>1111</v>
      </c>
      <c r="C124" s="1">
        <v>102652</v>
      </c>
      <c r="D124" s="1">
        <v>102652</v>
      </c>
    </row>
    <row r="125" spans="1:4">
      <c r="A125" t="s">
        <v>220</v>
      </c>
      <c r="B125">
        <v>1112</v>
      </c>
      <c r="C125" s="1">
        <v>103788</v>
      </c>
      <c r="D125" s="1">
        <v>103788</v>
      </c>
    </row>
    <row r="126" spans="1:4">
      <c r="A126" t="s">
        <v>221</v>
      </c>
      <c r="B126">
        <v>1113</v>
      </c>
      <c r="C126" s="1">
        <v>138969</v>
      </c>
      <c r="D126" s="1">
        <v>138969</v>
      </c>
    </row>
    <row r="127" spans="1:4">
      <c r="A127" t="s">
        <v>222</v>
      </c>
      <c r="B127">
        <v>1114</v>
      </c>
      <c r="C127" s="1">
        <v>152254</v>
      </c>
      <c r="D127" s="1">
        <v>152254</v>
      </c>
    </row>
    <row r="128" spans="1:4">
      <c r="A128" t="s">
        <v>223</v>
      </c>
      <c r="B128">
        <v>1115</v>
      </c>
      <c r="C128" s="1">
        <v>103522</v>
      </c>
      <c r="D128" s="1">
        <v>103522</v>
      </c>
    </row>
    <row r="129" spans="1:4">
      <c r="A129" t="s">
        <v>224</v>
      </c>
      <c r="B129">
        <v>1116</v>
      </c>
      <c r="C129" s="1">
        <v>138906</v>
      </c>
      <c r="D129" s="1">
        <v>138906</v>
      </c>
    </row>
    <row r="130" spans="1:4">
      <c r="A130" t="s">
        <v>225</v>
      </c>
      <c r="B130">
        <v>1117</v>
      </c>
      <c r="C130" s="1">
        <v>110398</v>
      </c>
      <c r="D130" s="1">
        <v>110398</v>
      </c>
    </row>
    <row r="131" spans="1:4">
      <c r="A131" t="s">
        <v>226</v>
      </c>
      <c r="B131">
        <v>1118</v>
      </c>
      <c r="C131" s="1">
        <v>101404</v>
      </c>
      <c r="D131" s="1">
        <v>101404</v>
      </c>
    </row>
    <row r="132" spans="1:4">
      <c r="A132" t="s">
        <v>227</v>
      </c>
      <c r="B132">
        <v>1119</v>
      </c>
      <c r="C132" s="1">
        <v>903</v>
      </c>
      <c r="D132" s="1">
        <v>903</v>
      </c>
    </row>
    <row r="133" spans="1:4">
      <c r="A133" t="s">
        <v>228</v>
      </c>
      <c r="B133">
        <v>112</v>
      </c>
      <c r="C133" s="1">
        <v>102881</v>
      </c>
      <c r="D133" s="1">
        <v>423725</v>
      </c>
    </row>
    <row r="134" spans="1:4">
      <c r="A134" t="s">
        <v>229</v>
      </c>
      <c r="B134">
        <v>1120</v>
      </c>
      <c r="C134" s="1">
        <v>101364</v>
      </c>
      <c r="D134" s="1">
        <v>101364</v>
      </c>
    </row>
    <row r="135" spans="1:4">
      <c r="A135" t="s">
        <v>230</v>
      </c>
      <c r="B135">
        <v>1121</v>
      </c>
      <c r="C135" s="1">
        <v>136164</v>
      </c>
      <c r="D135" s="1">
        <v>798770</v>
      </c>
    </row>
    <row r="136" spans="1:4">
      <c r="A136" t="s">
        <v>231</v>
      </c>
      <c r="B136">
        <v>1122</v>
      </c>
      <c r="C136" s="1">
        <v>101368</v>
      </c>
      <c r="D136" s="1">
        <v>101368</v>
      </c>
    </row>
    <row r="137" spans="1:4">
      <c r="A137" t="s">
        <v>232</v>
      </c>
      <c r="B137">
        <v>1123</v>
      </c>
      <c r="C137" s="1">
        <v>145</v>
      </c>
      <c r="D137" s="1">
        <v>145</v>
      </c>
    </row>
    <row r="138" spans="1:4">
      <c r="A138" t="s">
        <v>233</v>
      </c>
      <c r="B138">
        <v>1124</v>
      </c>
      <c r="C138" s="1">
        <v>148558</v>
      </c>
      <c r="D138" s="1">
        <v>148558</v>
      </c>
    </row>
    <row r="139" spans="1:4">
      <c r="A139" t="s">
        <v>234</v>
      </c>
      <c r="B139">
        <v>1125</v>
      </c>
      <c r="C139" s="1">
        <v>146744</v>
      </c>
      <c r="D139" s="1">
        <v>146744</v>
      </c>
    </row>
    <row r="140" spans="1:4">
      <c r="A140" t="s">
        <v>235</v>
      </c>
      <c r="B140">
        <v>1126</v>
      </c>
      <c r="C140" s="1">
        <v>254478</v>
      </c>
      <c r="D140" s="1">
        <v>254478</v>
      </c>
    </row>
    <row r="141" spans="1:4">
      <c r="A141" t="s">
        <v>236</v>
      </c>
      <c r="B141">
        <v>1127</v>
      </c>
      <c r="C141" s="1">
        <v>130653</v>
      </c>
      <c r="D141" s="1">
        <v>130653</v>
      </c>
    </row>
    <row r="142" spans="1:4">
      <c r="A142" t="s">
        <v>237</v>
      </c>
      <c r="B142">
        <v>1128</v>
      </c>
      <c r="C142" s="1">
        <v>329889</v>
      </c>
      <c r="D142" s="1">
        <v>329889</v>
      </c>
    </row>
    <row r="143" spans="1:4">
      <c r="A143" t="s">
        <v>238</v>
      </c>
      <c r="B143">
        <v>1129</v>
      </c>
      <c r="C143" s="1">
        <v>430909</v>
      </c>
      <c r="D143" s="1">
        <v>430909</v>
      </c>
    </row>
    <row r="144" spans="1:4">
      <c r="A144" t="s">
        <v>239</v>
      </c>
      <c r="B144">
        <v>113</v>
      </c>
      <c r="C144" s="1">
        <v>102888</v>
      </c>
      <c r="D144" s="1">
        <v>102888</v>
      </c>
    </row>
    <row r="145" spans="1:4">
      <c r="A145" t="s">
        <v>240</v>
      </c>
      <c r="B145">
        <v>1130</v>
      </c>
      <c r="C145" s="1">
        <v>110503</v>
      </c>
      <c r="D145" s="1">
        <v>110503</v>
      </c>
    </row>
    <row r="146" spans="1:4">
      <c r="A146" t="s">
        <v>241</v>
      </c>
      <c r="B146">
        <v>1131</v>
      </c>
      <c r="C146" s="1">
        <v>131507</v>
      </c>
      <c r="D146" s="1">
        <v>131507</v>
      </c>
    </row>
    <row r="147" spans="1:4">
      <c r="A147" t="s">
        <v>242</v>
      </c>
      <c r="B147">
        <v>1132</v>
      </c>
      <c r="C147" s="1">
        <v>337402</v>
      </c>
      <c r="D147" s="1">
        <v>130530</v>
      </c>
    </row>
    <row r="148" spans="1:4">
      <c r="A148" t="s">
        <v>243</v>
      </c>
      <c r="B148">
        <v>1133</v>
      </c>
      <c r="C148" s="1">
        <v>130906</v>
      </c>
      <c r="D148" s="1">
        <v>130906</v>
      </c>
    </row>
    <row r="149" spans="1:4">
      <c r="A149" t="s">
        <v>244</v>
      </c>
      <c r="B149">
        <v>1134</v>
      </c>
      <c r="C149" s="1">
        <v>329217</v>
      </c>
      <c r="D149" s="1">
        <v>329217</v>
      </c>
    </row>
    <row r="150" spans="1:4">
      <c r="A150" t="s">
        <v>245</v>
      </c>
      <c r="B150">
        <v>1135</v>
      </c>
      <c r="C150" s="1">
        <v>139334</v>
      </c>
      <c r="D150" s="1">
        <v>139334</v>
      </c>
    </row>
    <row r="151" spans="1:4">
      <c r="A151" t="s">
        <v>246</v>
      </c>
      <c r="B151">
        <v>1136</v>
      </c>
      <c r="C151" s="1">
        <v>110483</v>
      </c>
      <c r="D151" s="1">
        <v>110483</v>
      </c>
    </row>
    <row r="152" spans="1:4">
      <c r="A152" t="s">
        <v>247</v>
      </c>
      <c r="B152">
        <v>1137</v>
      </c>
      <c r="C152" s="1">
        <v>110477</v>
      </c>
      <c r="D152" s="1">
        <v>110477</v>
      </c>
    </row>
    <row r="153" spans="1:4">
      <c r="A153" t="s">
        <v>248</v>
      </c>
      <c r="B153">
        <v>1138</v>
      </c>
      <c r="C153" s="1">
        <v>110485</v>
      </c>
      <c r="D153" s="1">
        <v>110485</v>
      </c>
    </row>
    <row r="154" spans="1:4">
      <c r="A154" t="s">
        <v>249</v>
      </c>
      <c r="B154">
        <v>1139</v>
      </c>
      <c r="C154" s="1">
        <v>156345</v>
      </c>
      <c r="D154" s="1">
        <v>140740</v>
      </c>
    </row>
    <row r="155" spans="1:4">
      <c r="A155" t="s">
        <v>250</v>
      </c>
      <c r="B155">
        <v>114</v>
      </c>
      <c r="C155" s="1">
        <v>102890</v>
      </c>
      <c r="D155" s="1">
        <v>423728</v>
      </c>
    </row>
    <row r="156" spans="1:4">
      <c r="A156" t="s">
        <v>251</v>
      </c>
      <c r="B156">
        <v>1140</v>
      </c>
      <c r="C156" s="1">
        <v>423538</v>
      </c>
      <c r="D156" s="1">
        <v>423726</v>
      </c>
    </row>
    <row r="157" spans="1:4">
      <c r="A157" t="s">
        <v>252</v>
      </c>
      <c r="B157">
        <v>1141</v>
      </c>
      <c r="C157" s="1">
        <v>141672</v>
      </c>
      <c r="D157" s="1">
        <v>141672</v>
      </c>
    </row>
    <row r="158" spans="1:4">
      <c r="A158" t="s">
        <v>253</v>
      </c>
      <c r="B158">
        <v>1142</v>
      </c>
      <c r="C158" s="1">
        <v>124613</v>
      </c>
      <c r="D158" s="1">
        <v>124641</v>
      </c>
    </row>
    <row r="159" spans="1:4">
      <c r="A159" t="s">
        <v>254</v>
      </c>
      <c r="B159">
        <v>1143</v>
      </c>
      <c r="C159" s="1">
        <v>130618</v>
      </c>
      <c r="D159" s="1">
        <v>130618</v>
      </c>
    </row>
    <row r="160" spans="1:4">
      <c r="A160" t="s">
        <v>255</v>
      </c>
      <c r="B160">
        <v>1144</v>
      </c>
      <c r="C160" s="1">
        <v>101702</v>
      </c>
      <c r="D160" s="1">
        <v>101702</v>
      </c>
    </row>
    <row r="161" spans="1:4">
      <c r="A161" t="s">
        <v>256</v>
      </c>
      <c r="B161">
        <v>1145</v>
      </c>
      <c r="C161" s="1">
        <v>110852</v>
      </c>
      <c r="D161" s="1">
        <v>110852</v>
      </c>
    </row>
    <row r="162" spans="1:4">
      <c r="A162" t="s">
        <v>257</v>
      </c>
      <c r="B162">
        <v>1146</v>
      </c>
      <c r="C162" s="1">
        <v>122456</v>
      </c>
      <c r="D162" s="1">
        <v>122456</v>
      </c>
    </row>
    <row r="163" spans="1:4">
      <c r="A163" t="s">
        <v>258</v>
      </c>
      <c r="B163">
        <v>1147</v>
      </c>
      <c r="C163" s="1">
        <v>111695</v>
      </c>
      <c r="D163" s="1">
        <v>111695</v>
      </c>
    </row>
    <row r="164" spans="1:4">
      <c r="A164" t="s">
        <v>259</v>
      </c>
      <c r="B164">
        <v>1148</v>
      </c>
      <c r="C164" s="1">
        <v>148546</v>
      </c>
      <c r="D164" s="1">
        <v>489646</v>
      </c>
    </row>
    <row r="165" spans="1:4">
      <c r="A165" t="s">
        <v>260</v>
      </c>
      <c r="B165">
        <v>1149</v>
      </c>
      <c r="C165" s="1">
        <v>154918</v>
      </c>
      <c r="D165" s="1">
        <v>154918</v>
      </c>
    </row>
    <row r="166" spans="1:4">
      <c r="A166" t="s">
        <v>261</v>
      </c>
      <c r="B166">
        <v>115</v>
      </c>
      <c r="C166" s="1">
        <v>102892</v>
      </c>
      <c r="D166" s="1">
        <v>102892</v>
      </c>
    </row>
    <row r="167" spans="1:4">
      <c r="A167" t="s">
        <v>262</v>
      </c>
      <c r="B167">
        <v>1150</v>
      </c>
      <c r="C167" s="1">
        <v>254673</v>
      </c>
      <c r="D167" s="1">
        <v>110515</v>
      </c>
    </row>
    <row r="168" spans="1:4">
      <c r="A168" t="s">
        <v>263</v>
      </c>
      <c r="B168">
        <v>1151</v>
      </c>
      <c r="C168" s="1">
        <v>152396</v>
      </c>
      <c r="D168" s="1">
        <v>152396</v>
      </c>
    </row>
    <row r="169" spans="1:4">
      <c r="A169" t="s">
        <v>264</v>
      </c>
      <c r="B169">
        <v>1152</v>
      </c>
      <c r="C169" s="1">
        <v>130324</v>
      </c>
      <c r="D169" s="1">
        <v>130324</v>
      </c>
    </row>
    <row r="170" spans="1:4">
      <c r="A170" t="s">
        <v>265</v>
      </c>
      <c r="B170">
        <v>1153</v>
      </c>
      <c r="C170" s="1">
        <v>160450</v>
      </c>
      <c r="D170" s="1">
        <v>160450</v>
      </c>
    </row>
    <row r="171" spans="1:4">
      <c r="A171" t="s">
        <v>266</v>
      </c>
      <c r="B171">
        <v>1154</v>
      </c>
      <c r="C171" s="1">
        <v>373766</v>
      </c>
      <c r="D171" s="1">
        <v>373766</v>
      </c>
    </row>
    <row r="172" spans="1:4">
      <c r="A172" t="s">
        <v>267</v>
      </c>
      <c r="B172">
        <v>1155</v>
      </c>
      <c r="C172" s="1">
        <v>143804</v>
      </c>
      <c r="D172" s="1">
        <v>143804</v>
      </c>
    </row>
    <row r="173" spans="1:4">
      <c r="A173" t="s">
        <v>268</v>
      </c>
      <c r="B173">
        <v>1156</v>
      </c>
      <c r="C173" s="1">
        <v>111223</v>
      </c>
      <c r="D173" s="1">
        <v>111223</v>
      </c>
    </row>
    <row r="174" spans="1:4">
      <c r="A174" t="s">
        <v>269</v>
      </c>
      <c r="B174">
        <v>1157</v>
      </c>
      <c r="C174" s="1">
        <v>156492</v>
      </c>
      <c r="D174" s="1">
        <v>156492</v>
      </c>
    </row>
    <row r="175" spans="1:4">
      <c r="A175" t="s">
        <v>270</v>
      </c>
      <c r="B175">
        <v>1158</v>
      </c>
      <c r="C175" s="1">
        <v>110863</v>
      </c>
      <c r="D175" s="1">
        <v>110863</v>
      </c>
    </row>
    <row r="176" spans="1:4">
      <c r="A176" t="s">
        <v>271</v>
      </c>
      <c r="B176">
        <v>1159</v>
      </c>
      <c r="C176" s="1">
        <v>129903</v>
      </c>
      <c r="D176" s="1">
        <v>129903</v>
      </c>
    </row>
    <row r="177" spans="1:4">
      <c r="A177" t="s">
        <v>272</v>
      </c>
      <c r="B177">
        <v>116</v>
      </c>
      <c r="C177" s="1">
        <v>102895</v>
      </c>
      <c r="D177" s="1">
        <v>423729</v>
      </c>
    </row>
    <row r="178" spans="1:4">
      <c r="A178" t="s">
        <v>273</v>
      </c>
      <c r="B178">
        <v>1160</v>
      </c>
      <c r="C178" s="1">
        <v>130302</v>
      </c>
      <c r="D178" s="1">
        <v>130302</v>
      </c>
    </row>
    <row r="179" spans="1:4">
      <c r="A179" t="s">
        <v>274</v>
      </c>
      <c r="B179">
        <v>1161</v>
      </c>
      <c r="C179" s="1">
        <v>111045</v>
      </c>
      <c r="D179" s="1">
        <v>111045</v>
      </c>
    </row>
    <row r="180" spans="1:4">
      <c r="A180" t="s">
        <v>275</v>
      </c>
      <c r="B180">
        <v>1162</v>
      </c>
      <c r="C180" s="1">
        <v>111032</v>
      </c>
      <c r="D180" s="1">
        <v>111032</v>
      </c>
    </row>
    <row r="181" spans="1:4">
      <c r="A181" t="s">
        <v>276</v>
      </c>
      <c r="B181">
        <v>1163</v>
      </c>
      <c r="C181" s="1">
        <v>146979</v>
      </c>
      <c r="D181" s="1">
        <v>468543</v>
      </c>
    </row>
    <row r="182" spans="1:4">
      <c r="A182" t="s">
        <v>277</v>
      </c>
      <c r="B182">
        <v>1164</v>
      </c>
      <c r="C182" s="1">
        <v>129932</v>
      </c>
      <c r="D182" s="1">
        <v>129932</v>
      </c>
    </row>
    <row r="183" spans="1:4">
      <c r="A183" t="s">
        <v>278</v>
      </c>
      <c r="B183">
        <v>1165</v>
      </c>
      <c r="C183" s="1">
        <v>130732</v>
      </c>
      <c r="D183" s="1">
        <v>130732</v>
      </c>
    </row>
    <row r="184" spans="1:4">
      <c r="A184" t="s">
        <v>279</v>
      </c>
      <c r="B184">
        <v>1166</v>
      </c>
      <c r="C184" s="1">
        <v>111047</v>
      </c>
      <c r="D184" s="1">
        <v>111047</v>
      </c>
    </row>
    <row r="185" spans="1:4">
      <c r="A185" t="s">
        <v>280</v>
      </c>
      <c r="B185">
        <v>1167</v>
      </c>
      <c r="C185" s="1">
        <v>110904</v>
      </c>
      <c r="D185" s="1">
        <v>110904</v>
      </c>
    </row>
    <row r="186" spans="1:4">
      <c r="A186" t="s">
        <v>281</v>
      </c>
      <c r="B186">
        <v>1168</v>
      </c>
      <c r="C186" s="1">
        <v>131695</v>
      </c>
      <c r="D186" s="1">
        <v>131695</v>
      </c>
    </row>
    <row r="187" spans="1:4">
      <c r="A187" t="s">
        <v>282</v>
      </c>
      <c r="B187">
        <v>1169</v>
      </c>
      <c r="C187" s="1">
        <v>624204</v>
      </c>
      <c r="D187" s="1">
        <v>624204</v>
      </c>
    </row>
    <row r="188" spans="1:4">
      <c r="A188" t="s">
        <v>283</v>
      </c>
      <c r="B188">
        <v>117</v>
      </c>
      <c r="C188" s="1">
        <v>102896</v>
      </c>
      <c r="D188" s="1">
        <v>423325</v>
      </c>
    </row>
    <row r="189" spans="1:4">
      <c r="A189" t="s">
        <v>284</v>
      </c>
      <c r="B189">
        <v>1170</v>
      </c>
      <c r="C189" s="1">
        <v>131723</v>
      </c>
      <c r="D189" s="1">
        <v>131723</v>
      </c>
    </row>
    <row r="190" spans="1:4">
      <c r="A190" t="s">
        <v>285</v>
      </c>
      <c r="B190">
        <v>1171</v>
      </c>
      <c r="C190" s="1">
        <v>132046</v>
      </c>
      <c r="D190" s="1">
        <v>132046</v>
      </c>
    </row>
    <row r="191" spans="1:4">
      <c r="A191" t="s">
        <v>286</v>
      </c>
      <c r="B191">
        <v>1172</v>
      </c>
      <c r="C191" s="1">
        <v>130746</v>
      </c>
      <c r="D191" s="1">
        <v>130746</v>
      </c>
    </row>
    <row r="192" spans="1:4">
      <c r="A192" t="s">
        <v>287</v>
      </c>
      <c r="B192">
        <v>1173</v>
      </c>
      <c r="C192" s="1">
        <v>129487</v>
      </c>
      <c r="D192" s="1">
        <v>129487</v>
      </c>
    </row>
    <row r="193" spans="1:4">
      <c r="A193" t="s">
        <v>288</v>
      </c>
      <c r="B193">
        <v>1174</v>
      </c>
      <c r="C193" s="1">
        <v>144272</v>
      </c>
      <c r="D193" s="1">
        <v>144272</v>
      </c>
    </row>
    <row r="194" spans="1:4">
      <c r="A194" t="s">
        <v>289</v>
      </c>
      <c r="B194">
        <v>1175</v>
      </c>
      <c r="C194" s="1">
        <v>558444</v>
      </c>
      <c r="D194" s="1">
        <v>558444</v>
      </c>
    </row>
    <row r="195" spans="1:4">
      <c r="A195" t="s">
        <v>290</v>
      </c>
      <c r="B195">
        <v>1176</v>
      </c>
      <c r="C195" s="1">
        <v>137481</v>
      </c>
      <c r="D195" s="1">
        <v>137481</v>
      </c>
    </row>
    <row r="196" spans="1:4">
      <c r="A196" t="s">
        <v>291</v>
      </c>
      <c r="B196">
        <v>1177</v>
      </c>
      <c r="C196" s="1">
        <v>102158</v>
      </c>
      <c r="D196" s="1">
        <v>102158</v>
      </c>
    </row>
    <row r="197" spans="1:4">
      <c r="A197" t="s">
        <v>292</v>
      </c>
      <c r="B197">
        <v>1178</v>
      </c>
      <c r="C197" s="1">
        <v>144773</v>
      </c>
      <c r="D197" s="1">
        <v>144773</v>
      </c>
    </row>
    <row r="198" spans="1:4">
      <c r="A198" t="s">
        <v>293</v>
      </c>
      <c r="B198">
        <v>1179</v>
      </c>
      <c r="C198" s="1">
        <v>132219</v>
      </c>
      <c r="D198" s="1">
        <v>132219</v>
      </c>
    </row>
    <row r="199" spans="1:4">
      <c r="A199" t="s">
        <v>294</v>
      </c>
      <c r="B199">
        <v>118</v>
      </c>
      <c r="C199" s="1">
        <v>102899</v>
      </c>
      <c r="D199" s="1">
        <v>423326</v>
      </c>
    </row>
    <row r="200" spans="1:4">
      <c r="A200" t="s">
        <v>295</v>
      </c>
      <c r="B200">
        <v>1180</v>
      </c>
      <c r="C200" s="1">
        <v>498576</v>
      </c>
      <c r="D200" s="1">
        <v>708087</v>
      </c>
    </row>
    <row r="201" spans="1:4">
      <c r="A201" t="s">
        <v>296</v>
      </c>
      <c r="B201">
        <v>1181</v>
      </c>
      <c r="C201" s="1">
        <v>110866</v>
      </c>
      <c r="D201" s="1">
        <v>110866</v>
      </c>
    </row>
    <row r="202" spans="1:4">
      <c r="A202" t="s">
        <v>297</v>
      </c>
      <c r="B202">
        <v>1182</v>
      </c>
      <c r="C202" s="1">
        <v>144691</v>
      </c>
      <c r="D202" s="1">
        <v>144691</v>
      </c>
    </row>
    <row r="203" spans="1:4">
      <c r="A203" t="s">
        <v>298</v>
      </c>
      <c r="B203">
        <v>1183</v>
      </c>
      <c r="C203" s="1">
        <v>1021266</v>
      </c>
      <c r="D203" s="1">
        <v>989</v>
      </c>
    </row>
    <row r="204" spans="1:4">
      <c r="A204" t="s">
        <v>299</v>
      </c>
      <c r="B204">
        <v>1184</v>
      </c>
      <c r="C204" s="1">
        <v>131729</v>
      </c>
      <c r="D204" s="1">
        <v>131729</v>
      </c>
    </row>
    <row r="205" spans="1:4">
      <c r="A205" t="s">
        <v>300</v>
      </c>
      <c r="B205">
        <v>1185</v>
      </c>
      <c r="C205" s="1">
        <v>145773</v>
      </c>
      <c r="D205" s="1">
        <v>145773</v>
      </c>
    </row>
    <row r="206" spans="1:4">
      <c r="A206" t="s">
        <v>301</v>
      </c>
      <c r="B206">
        <v>1186</v>
      </c>
      <c r="C206" s="1">
        <v>130599</v>
      </c>
      <c r="D206" s="1">
        <v>130599</v>
      </c>
    </row>
    <row r="207" spans="1:4">
      <c r="A207" t="s">
        <v>302</v>
      </c>
      <c r="B207">
        <v>1187</v>
      </c>
      <c r="C207" s="1">
        <v>111139</v>
      </c>
      <c r="D207" s="1">
        <v>111139</v>
      </c>
    </row>
    <row r="208" spans="1:4">
      <c r="A208" t="s">
        <v>303</v>
      </c>
      <c r="B208">
        <v>1188</v>
      </c>
      <c r="C208" s="1">
        <v>117389</v>
      </c>
      <c r="D208" s="1">
        <v>117389</v>
      </c>
    </row>
    <row r="209" spans="1:4">
      <c r="A209" t="s">
        <v>304</v>
      </c>
      <c r="B209">
        <v>1189</v>
      </c>
      <c r="C209" s="1">
        <v>153705</v>
      </c>
      <c r="D209" s="1">
        <v>110734</v>
      </c>
    </row>
    <row r="210" spans="1:4">
      <c r="A210" t="s">
        <v>305</v>
      </c>
      <c r="B210">
        <v>119</v>
      </c>
      <c r="C210" s="1">
        <v>101694</v>
      </c>
      <c r="D210" s="1">
        <v>101694</v>
      </c>
    </row>
    <row r="211" spans="1:4">
      <c r="A211" t="s">
        <v>306</v>
      </c>
      <c r="B211">
        <v>1190</v>
      </c>
      <c r="C211" s="1">
        <v>140526</v>
      </c>
      <c r="D211" s="1">
        <v>140526</v>
      </c>
    </row>
    <row r="212" spans="1:4">
      <c r="A212" t="s">
        <v>307</v>
      </c>
      <c r="B212">
        <v>1191</v>
      </c>
      <c r="C212" s="1">
        <v>144462</v>
      </c>
      <c r="D212" s="1">
        <v>144462</v>
      </c>
    </row>
    <row r="213" spans="1:4">
      <c r="A213" t="s">
        <v>308</v>
      </c>
      <c r="B213">
        <v>1192</v>
      </c>
      <c r="C213" s="1">
        <v>1066</v>
      </c>
      <c r="D213" s="1">
        <v>1066</v>
      </c>
    </row>
    <row r="214" spans="1:4">
      <c r="A214" t="s">
        <v>309</v>
      </c>
      <c r="B214">
        <v>1193</v>
      </c>
      <c r="C214" s="1">
        <v>495087</v>
      </c>
      <c r="D214" s="1">
        <v>495087</v>
      </c>
    </row>
    <row r="215" spans="1:4">
      <c r="A215" t="s">
        <v>310</v>
      </c>
      <c r="B215">
        <v>1194</v>
      </c>
      <c r="C215" s="1">
        <v>130964</v>
      </c>
      <c r="D215" s="1">
        <v>130964</v>
      </c>
    </row>
    <row r="216" spans="1:4">
      <c r="A216" t="s">
        <v>311</v>
      </c>
      <c r="B216">
        <v>1195</v>
      </c>
      <c r="C216" s="1">
        <v>156440</v>
      </c>
      <c r="D216" s="1">
        <v>1307150</v>
      </c>
    </row>
    <row r="217" spans="1:4">
      <c r="A217" t="s">
        <v>312</v>
      </c>
      <c r="B217">
        <v>12</v>
      </c>
      <c r="C217" s="1">
        <v>117911</v>
      </c>
      <c r="D217" s="1">
        <v>117911</v>
      </c>
    </row>
    <row r="218" spans="1:4">
      <c r="A218" t="s">
        <v>313</v>
      </c>
      <c r="B218">
        <v>120</v>
      </c>
      <c r="C218" s="1">
        <v>102906</v>
      </c>
      <c r="D218" s="1">
        <v>102906</v>
      </c>
    </row>
    <row r="219" spans="1:4">
      <c r="A219" t="s">
        <v>314</v>
      </c>
      <c r="B219">
        <v>121</v>
      </c>
      <c r="C219" s="1">
        <v>102908</v>
      </c>
      <c r="D219" s="1">
        <v>102908</v>
      </c>
    </row>
    <row r="220" spans="1:4">
      <c r="A220" t="s">
        <v>315</v>
      </c>
      <c r="B220">
        <v>122</v>
      </c>
      <c r="C220" s="1">
        <v>102910</v>
      </c>
      <c r="D220" s="1">
        <v>102910</v>
      </c>
    </row>
    <row r="221" spans="1:4">
      <c r="A221" t="s">
        <v>316</v>
      </c>
      <c r="B221">
        <v>123</v>
      </c>
      <c r="C221" s="1">
        <v>102911</v>
      </c>
      <c r="D221" s="1">
        <v>102911</v>
      </c>
    </row>
    <row r="222" spans="1:4">
      <c r="A222" t="s">
        <v>317</v>
      </c>
      <c r="B222">
        <v>124</v>
      </c>
      <c r="C222" s="1">
        <v>102913</v>
      </c>
      <c r="D222" s="1">
        <v>102913</v>
      </c>
    </row>
    <row r="223" spans="1:4">
      <c r="A223" t="s">
        <v>318</v>
      </c>
      <c r="B223">
        <v>125</v>
      </c>
      <c r="C223" s="1">
        <v>102917</v>
      </c>
      <c r="D223" s="1">
        <v>102917</v>
      </c>
    </row>
    <row r="224" spans="1:4">
      <c r="A224" t="s">
        <v>319</v>
      </c>
      <c r="B224">
        <v>126</v>
      </c>
      <c r="C224" s="1">
        <v>102931</v>
      </c>
      <c r="D224" s="1">
        <v>102931</v>
      </c>
    </row>
    <row r="225" spans="1:4">
      <c r="A225" t="s">
        <v>320</v>
      </c>
      <c r="B225">
        <v>127</v>
      </c>
      <c r="C225" s="1">
        <v>102935</v>
      </c>
      <c r="D225" s="1">
        <v>102935</v>
      </c>
    </row>
    <row r="226" spans="1:4">
      <c r="A226" t="s">
        <v>321</v>
      </c>
      <c r="B226">
        <v>128</v>
      </c>
      <c r="C226" s="1">
        <v>101705</v>
      </c>
      <c r="D226" s="1">
        <v>101705</v>
      </c>
    </row>
    <row r="227" spans="1:4">
      <c r="A227" t="s">
        <v>322</v>
      </c>
      <c r="B227">
        <v>129</v>
      </c>
      <c r="C227" s="1">
        <v>101897</v>
      </c>
      <c r="D227" s="1">
        <v>101897</v>
      </c>
    </row>
    <row r="228" spans="1:4">
      <c r="A228" t="s">
        <v>323</v>
      </c>
      <c r="B228">
        <v>13</v>
      </c>
      <c r="C228" s="1">
        <v>117913</v>
      </c>
      <c r="D228" s="1">
        <v>117913</v>
      </c>
    </row>
    <row r="229" spans="1:4">
      <c r="A229" t="s">
        <v>324</v>
      </c>
      <c r="B229">
        <v>130</v>
      </c>
      <c r="C229" s="1">
        <v>101908</v>
      </c>
      <c r="D229" s="1">
        <v>101908</v>
      </c>
    </row>
    <row r="230" spans="1:4">
      <c r="A230" t="s">
        <v>325</v>
      </c>
      <c r="B230">
        <v>131</v>
      </c>
      <c r="C230" s="1">
        <v>101955</v>
      </c>
      <c r="D230" s="1">
        <v>101955</v>
      </c>
    </row>
    <row r="231" spans="1:4">
      <c r="A231" t="s">
        <v>326</v>
      </c>
      <c r="B231">
        <v>132</v>
      </c>
      <c r="C231" s="1">
        <v>101958</v>
      </c>
      <c r="D231" s="1">
        <v>101958</v>
      </c>
    </row>
    <row r="232" spans="1:4">
      <c r="A232" t="s">
        <v>327</v>
      </c>
      <c r="B232">
        <v>133</v>
      </c>
      <c r="C232" s="1">
        <v>102002</v>
      </c>
      <c r="D232" s="1">
        <v>102002</v>
      </c>
    </row>
    <row r="233" spans="1:4">
      <c r="A233" t="s">
        <v>328</v>
      </c>
      <c r="B233">
        <v>134</v>
      </c>
      <c r="C233" s="1">
        <v>103085</v>
      </c>
      <c r="D233" s="1">
        <v>254661</v>
      </c>
    </row>
    <row r="234" spans="1:4">
      <c r="A234" t="s">
        <v>329</v>
      </c>
      <c r="B234">
        <v>135</v>
      </c>
      <c r="C234" s="1" t="s">
        <v>25</v>
      </c>
      <c r="D234" s="1" t="s">
        <v>25</v>
      </c>
    </row>
    <row r="235" spans="1:4">
      <c r="A235" t="s">
        <v>330</v>
      </c>
      <c r="B235">
        <v>136</v>
      </c>
      <c r="C235" s="1">
        <v>101408</v>
      </c>
      <c r="D235" s="1">
        <v>101408</v>
      </c>
    </row>
    <row r="236" spans="1:4">
      <c r="A236" t="s">
        <v>331</v>
      </c>
      <c r="B236">
        <v>137</v>
      </c>
      <c r="C236" s="1">
        <v>103102</v>
      </c>
      <c r="D236" s="1">
        <v>103102</v>
      </c>
    </row>
    <row r="237" spans="1:4">
      <c r="A237" t="s">
        <v>332</v>
      </c>
      <c r="B237">
        <v>138</v>
      </c>
      <c r="C237" s="1">
        <v>103105</v>
      </c>
      <c r="D237" s="1">
        <v>103105</v>
      </c>
    </row>
    <row r="238" spans="1:4">
      <c r="A238" t="s">
        <v>333</v>
      </c>
      <c r="B238">
        <v>139</v>
      </c>
      <c r="C238" s="1">
        <v>102513</v>
      </c>
      <c r="D238" s="1">
        <v>102513</v>
      </c>
    </row>
    <row r="239" spans="1:4">
      <c r="A239" t="s">
        <v>334</v>
      </c>
      <c r="B239">
        <v>14</v>
      </c>
      <c r="C239" s="1">
        <v>117920</v>
      </c>
      <c r="D239" s="1">
        <v>158172</v>
      </c>
    </row>
    <row r="240" spans="1:4">
      <c r="A240" t="s">
        <v>335</v>
      </c>
      <c r="B240">
        <v>140</v>
      </c>
      <c r="C240" s="1">
        <v>102514</v>
      </c>
      <c r="D240" s="1">
        <v>102514</v>
      </c>
    </row>
    <row r="241" spans="1:4">
      <c r="A241" t="s">
        <v>336</v>
      </c>
      <c r="B241">
        <v>141</v>
      </c>
      <c r="C241" s="1">
        <v>102548</v>
      </c>
      <c r="D241" s="1">
        <v>102548</v>
      </c>
    </row>
    <row r="242" spans="1:4">
      <c r="A242" t="s">
        <v>177</v>
      </c>
      <c r="B242">
        <v>142</v>
      </c>
      <c r="C242" s="1">
        <v>101395</v>
      </c>
      <c r="D242" s="1">
        <v>101395</v>
      </c>
    </row>
    <row r="243" spans="1:4">
      <c r="A243" t="s">
        <v>337</v>
      </c>
      <c r="B243">
        <v>143</v>
      </c>
      <c r="C243" s="1">
        <v>102620</v>
      </c>
      <c r="D243" s="1">
        <v>102620</v>
      </c>
    </row>
    <row r="244" spans="1:4">
      <c r="A244" t="s">
        <v>338</v>
      </c>
      <c r="B244">
        <v>144</v>
      </c>
      <c r="C244" s="1">
        <v>102643</v>
      </c>
      <c r="D244" s="1">
        <v>102643</v>
      </c>
    </row>
    <row r="245" spans="1:4">
      <c r="A245" t="s">
        <v>339</v>
      </c>
      <c r="B245">
        <v>145</v>
      </c>
      <c r="C245" s="1">
        <v>102649</v>
      </c>
      <c r="D245" s="1">
        <v>102649</v>
      </c>
    </row>
    <row r="246" spans="1:4">
      <c r="A246" t="s">
        <v>340</v>
      </c>
      <c r="B246">
        <v>146</v>
      </c>
      <c r="C246" s="1">
        <v>101631</v>
      </c>
      <c r="D246" s="1">
        <v>101631</v>
      </c>
    </row>
    <row r="247" spans="1:4">
      <c r="A247" t="s">
        <v>341</v>
      </c>
      <c r="B247">
        <v>147</v>
      </c>
      <c r="C247" s="1">
        <v>102688</v>
      </c>
      <c r="D247" s="1">
        <v>102565</v>
      </c>
    </row>
    <row r="248" spans="1:4">
      <c r="A248" t="s">
        <v>342</v>
      </c>
      <c r="B248">
        <v>148</v>
      </c>
      <c r="C248" s="1">
        <v>102690</v>
      </c>
      <c r="D248" s="1">
        <v>102690</v>
      </c>
    </row>
    <row r="249" spans="1:4">
      <c r="A249" t="s">
        <v>343</v>
      </c>
      <c r="B249">
        <v>149</v>
      </c>
      <c r="C249" s="1">
        <v>102696</v>
      </c>
      <c r="D249" s="1">
        <v>102696</v>
      </c>
    </row>
    <row r="250" spans="1:4">
      <c r="A250" t="s">
        <v>344</v>
      </c>
      <c r="B250">
        <v>15</v>
      </c>
      <c r="C250" s="1">
        <v>117922</v>
      </c>
      <c r="D250" s="1">
        <v>117922</v>
      </c>
    </row>
    <row r="251" spans="1:4">
      <c r="A251" t="s">
        <v>345</v>
      </c>
      <c r="B251">
        <v>150</v>
      </c>
      <c r="C251" s="1">
        <v>101634</v>
      </c>
      <c r="D251" s="1">
        <v>101634</v>
      </c>
    </row>
    <row r="252" spans="1:4">
      <c r="A252" t="s">
        <v>346</v>
      </c>
      <c r="B252">
        <v>151</v>
      </c>
      <c r="C252" s="1">
        <v>102726</v>
      </c>
      <c r="D252" s="1">
        <v>102726</v>
      </c>
    </row>
    <row r="253" spans="1:4">
      <c r="A253" t="s">
        <v>347</v>
      </c>
      <c r="B253">
        <v>152</v>
      </c>
      <c r="C253" s="1">
        <v>531125</v>
      </c>
      <c r="D253" s="1">
        <v>102772</v>
      </c>
    </row>
    <row r="254" spans="1:4">
      <c r="A254" t="s">
        <v>348</v>
      </c>
      <c r="B254">
        <v>153</v>
      </c>
      <c r="C254" s="1">
        <v>102779</v>
      </c>
      <c r="D254" s="1">
        <v>102779</v>
      </c>
    </row>
    <row r="255" spans="1:4">
      <c r="A255" t="s">
        <v>349</v>
      </c>
      <c r="B255">
        <v>154</v>
      </c>
      <c r="C255" s="1">
        <v>102160</v>
      </c>
      <c r="D255" s="1">
        <v>102160</v>
      </c>
    </row>
    <row r="256" spans="1:4">
      <c r="A256" t="s">
        <v>350</v>
      </c>
      <c r="B256">
        <v>155</v>
      </c>
      <c r="C256" s="1">
        <v>101509</v>
      </c>
      <c r="D256" s="1">
        <v>101509</v>
      </c>
    </row>
    <row r="257" spans="1:4">
      <c r="A257" t="s">
        <v>351</v>
      </c>
      <c r="B257">
        <v>156</v>
      </c>
      <c r="C257" s="1">
        <v>102175</v>
      </c>
      <c r="D257" s="1">
        <v>102175</v>
      </c>
    </row>
    <row r="258" spans="1:4">
      <c r="A258" t="s">
        <v>52</v>
      </c>
      <c r="B258">
        <v>157</v>
      </c>
      <c r="C258" s="1">
        <v>102178</v>
      </c>
      <c r="D258" s="1">
        <v>102178</v>
      </c>
    </row>
    <row r="259" spans="1:4">
      <c r="A259" t="s">
        <v>352</v>
      </c>
      <c r="B259">
        <v>158</v>
      </c>
      <c r="C259" s="1">
        <v>158096</v>
      </c>
      <c r="D259" s="1">
        <v>158096</v>
      </c>
    </row>
    <row r="260" spans="1:4">
      <c r="A260" t="s">
        <v>353</v>
      </c>
      <c r="B260">
        <v>159</v>
      </c>
      <c r="C260" s="1">
        <v>102064</v>
      </c>
      <c r="D260" s="1">
        <v>102064</v>
      </c>
    </row>
    <row r="261" spans="1:4">
      <c r="A261" t="s">
        <v>354</v>
      </c>
      <c r="B261">
        <v>16</v>
      </c>
      <c r="C261" s="1">
        <v>117924</v>
      </c>
      <c r="D261" s="1">
        <v>117924</v>
      </c>
    </row>
    <row r="262" spans="1:4">
      <c r="A262" t="s">
        <v>355</v>
      </c>
      <c r="B262">
        <v>160</v>
      </c>
      <c r="C262" s="1">
        <v>102125</v>
      </c>
      <c r="D262" s="1">
        <v>102125</v>
      </c>
    </row>
    <row r="263" spans="1:4">
      <c r="A263" t="s">
        <v>356</v>
      </c>
      <c r="B263">
        <v>161</v>
      </c>
      <c r="C263" s="1">
        <v>423255</v>
      </c>
      <c r="D263" s="1">
        <v>423255</v>
      </c>
    </row>
    <row r="264" spans="1:4">
      <c r="A264" t="s">
        <v>357</v>
      </c>
      <c r="B264">
        <v>162</v>
      </c>
      <c r="C264" s="1">
        <v>101839</v>
      </c>
      <c r="D264" s="1">
        <v>101839</v>
      </c>
    </row>
    <row r="265" spans="1:4">
      <c r="A265" t="s">
        <v>358</v>
      </c>
      <c r="B265">
        <v>163</v>
      </c>
      <c r="C265" s="1">
        <v>101851</v>
      </c>
      <c r="D265" s="1">
        <v>101851</v>
      </c>
    </row>
    <row r="266" spans="1:4">
      <c r="A266" t="s">
        <v>359</v>
      </c>
      <c r="B266">
        <v>164</v>
      </c>
      <c r="C266" s="1">
        <v>101376</v>
      </c>
      <c r="D266" s="1">
        <v>101376</v>
      </c>
    </row>
    <row r="267" spans="1:4">
      <c r="A267" t="s">
        <v>360</v>
      </c>
      <c r="B267">
        <v>165</v>
      </c>
      <c r="C267" s="1">
        <v>158080</v>
      </c>
      <c r="D267" s="1">
        <v>237004</v>
      </c>
    </row>
    <row r="268" spans="1:4">
      <c r="A268" t="s">
        <v>361</v>
      </c>
      <c r="B268">
        <v>166</v>
      </c>
      <c r="C268" s="1">
        <v>102089</v>
      </c>
      <c r="D268" s="1">
        <v>397383</v>
      </c>
    </row>
    <row r="269" spans="1:4">
      <c r="A269" t="s">
        <v>362</v>
      </c>
      <c r="B269">
        <v>167</v>
      </c>
      <c r="C269" s="1">
        <v>101489</v>
      </c>
      <c r="D269" s="1">
        <v>101489</v>
      </c>
    </row>
    <row r="270" spans="1:4">
      <c r="A270" t="s">
        <v>363</v>
      </c>
      <c r="B270">
        <v>168</v>
      </c>
      <c r="C270" s="1">
        <v>101567</v>
      </c>
      <c r="D270" s="1">
        <v>101567</v>
      </c>
    </row>
    <row r="271" spans="1:4">
      <c r="A271" t="s">
        <v>364</v>
      </c>
      <c r="B271">
        <v>169</v>
      </c>
      <c r="C271" s="1">
        <v>102401</v>
      </c>
      <c r="D271" s="1">
        <v>102401</v>
      </c>
    </row>
    <row r="272" spans="1:4">
      <c r="A272" t="s">
        <v>365</v>
      </c>
      <c r="B272">
        <v>17</v>
      </c>
      <c r="C272" s="1">
        <v>117234</v>
      </c>
      <c r="D272" s="1">
        <v>117234</v>
      </c>
    </row>
    <row r="273" spans="1:4">
      <c r="A273" t="s">
        <v>366</v>
      </c>
      <c r="B273">
        <v>170</v>
      </c>
      <c r="C273" s="1">
        <v>102061</v>
      </c>
      <c r="D273" s="1">
        <v>102061</v>
      </c>
    </row>
    <row r="274" spans="1:4">
      <c r="A274" t="s">
        <v>367</v>
      </c>
      <c r="B274">
        <v>171</v>
      </c>
      <c r="C274" s="1">
        <v>884050</v>
      </c>
      <c r="D274" s="1">
        <v>156071</v>
      </c>
    </row>
    <row r="275" spans="1:4">
      <c r="A275" t="s">
        <v>368</v>
      </c>
      <c r="B275">
        <v>172</v>
      </c>
      <c r="C275" s="1">
        <v>158083</v>
      </c>
      <c r="D275" s="1">
        <v>103044</v>
      </c>
    </row>
    <row r="276" spans="1:4">
      <c r="A276" t="s">
        <v>369</v>
      </c>
      <c r="B276">
        <v>173</v>
      </c>
      <c r="C276" s="1">
        <v>101734</v>
      </c>
      <c r="D276" s="1">
        <v>101734</v>
      </c>
    </row>
    <row r="277" spans="1:4">
      <c r="A277" t="s">
        <v>370</v>
      </c>
      <c r="B277">
        <v>174</v>
      </c>
      <c r="C277" s="1">
        <v>103034</v>
      </c>
      <c r="D277" s="1">
        <v>103034</v>
      </c>
    </row>
    <row r="278" spans="1:4">
      <c r="A278" t="s">
        <v>371</v>
      </c>
      <c r="B278">
        <v>175</v>
      </c>
      <c r="C278" s="1">
        <v>254737</v>
      </c>
      <c r="D278" s="1">
        <v>102365</v>
      </c>
    </row>
    <row r="279" spans="1:4">
      <c r="A279" t="s">
        <v>372</v>
      </c>
      <c r="B279">
        <v>176</v>
      </c>
      <c r="C279" s="1">
        <v>102387</v>
      </c>
      <c r="D279" s="1">
        <v>102387</v>
      </c>
    </row>
    <row r="280" spans="1:4">
      <c r="A280" t="s">
        <v>373</v>
      </c>
      <c r="B280">
        <v>177</v>
      </c>
      <c r="C280" s="1">
        <v>102443</v>
      </c>
      <c r="D280" s="1">
        <v>102443</v>
      </c>
    </row>
    <row r="281" spans="1:4">
      <c r="A281" t="s">
        <v>374</v>
      </c>
      <c r="B281">
        <v>178</v>
      </c>
      <c r="C281" s="1">
        <v>102444</v>
      </c>
      <c r="D281" s="1">
        <v>102444</v>
      </c>
    </row>
    <row r="282" spans="1:4">
      <c r="A282" t="s">
        <v>375</v>
      </c>
      <c r="B282">
        <v>179</v>
      </c>
      <c r="C282" s="1">
        <v>102199</v>
      </c>
      <c r="D282" s="1">
        <v>102199</v>
      </c>
    </row>
    <row r="283" spans="1:4">
      <c r="A283" t="s">
        <v>376</v>
      </c>
      <c r="B283">
        <v>18</v>
      </c>
      <c r="C283" s="1">
        <v>117925</v>
      </c>
      <c r="D283" s="1">
        <v>117925</v>
      </c>
    </row>
    <row r="284" spans="1:4">
      <c r="A284" t="s">
        <v>377</v>
      </c>
      <c r="B284">
        <v>180</v>
      </c>
      <c r="C284" s="1">
        <v>102224</v>
      </c>
      <c r="D284" s="1">
        <v>102224</v>
      </c>
    </row>
    <row r="285" spans="1:4">
      <c r="A285" t="s">
        <v>378</v>
      </c>
      <c r="B285">
        <v>181</v>
      </c>
      <c r="C285" s="1">
        <v>102246</v>
      </c>
      <c r="D285" s="1">
        <v>102246</v>
      </c>
    </row>
    <row r="286" spans="1:4">
      <c r="A286" t="s">
        <v>379</v>
      </c>
      <c r="B286">
        <v>182</v>
      </c>
      <c r="C286" s="1">
        <v>102248</v>
      </c>
      <c r="D286" s="1">
        <v>102248</v>
      </c>
    </row>
    <row r="287" spans="1:4">
      <c r="A287" t="s">
        <v>380</v>
      </c>
      <c r="B287">
        <v>183</v>
      </c>
      <c r="C287" s="1">
        <v>102253</v>
      </c>
      <c r="D287" s="1">
        <v>102253</v>
      </c>
    </row>
    <row r="288" spans="1:4">
      <c r="A288" t="s">
        <v>381</v>
      </c>
      <c r="B288">
        <v>184</v>
      </c>
      <c r="C288" s="1">
        <v>101383</v>
      </c>
      <c r="D288" s="1">
        <v>101383</v>
      </c>
    </row>
    <row r="289" spans="1:4">
      <c r="A289" t="s">
        <v>382</v>
      </c>
      <c r="B289">
        <v>185</v>
      </c>
      <c r="C289" s="1">
        <v>102365</v>
      </c>
      <c r="D289" s="1">
        <v>102365</v>
      </c>
    </row>
    <row r="290" spans="1:4">
      <c r="A290" t="s">
        <v>383</v>
      </c>
      <c r="B290">
        <v>186</v>
      </c>
      <c r="C290" s="1">
        <v>102276</v>
      </c>
      <c r="D290" s="1">
        <v>102276</v>
      </c>
    </row>
    <row r="291" spans="1:4">
      <c r="A291" t="s">
        <v>384</v>
      </c>
      <c r="B291">
        <v>187</v>
      </c>
      <c r="C291" s="1">
        <v>102285</v>
      </c>
      <c r="D291" s="1">
        <v>102285</v>
      </c>
    </row>
    <row r="292" spans="1:4">
      <c r="A292" t="s">
        <v>385</v>
      </c>
      <c r="B292">
        <v>188</v>
      </c>
      <c r="C292" s="1">
        <v>102293</v>
      </c>
      <c r="D292" s="1">
        <v>102293</v>
      </c>
    </row>
    <row r="293" spans="1:4">
      <c r="A293" t="s">
        <v>51</v>
      </c>
      <c r="B293">
        <v>189</v>
      </c>
      <c r="C293" s="1">
        <v>101537</v>
      </c>
      <c r="D293" s="1">
        <v>101537</v>
      </c>
    </row>
    <row r="294" spans="1:4">
      <c r="A294" t="s">
        <v>386</v>
      </c>
      <c r="B294">
        <v>19</v>
      </c>
      <c r="C294" s="1">
        <v>1614</v>
      </c>
      <c r="D294" s="1">
        <v>1614</v>
      </c>
    </row>
    <row r="295" spans="1:4">
      <c r="A295" t="s">
        <v>387</v>
      </c>
      <c r="B295">
        <v>190</v>
      </c>
      <c r="C295" s="1">
        <v>102299</v>
      </c>
      <c r="D295" s="1">
        <v>102299</v>
      </c>
    </row>
    <row r="296" spans="1:4">
      <c r="A296" t="s">
        <v>388</v>
      </c>
      <c r="B296">
        <v>191</v>
      </c>
      <c r="C296" s="1">
        <v>102302</v>
      </c>
      <c r="D296" s="1">
        <v>1651000</v>
      </c>
    </row>
    <row r="297" spans="1:4">
      <c r="A297" t="s">
        <v>389</v>
      </c>
      <c r="B297">
        <v>192</v>
      </c>
      <c r="C297" s="1">
        <v>102304</v>
      </c>
      <c r="D297" s="1">
        <v>102304</v>
      </c>
    </row>
    <row r="298" spans="1:4">
      <c r="A298" t="s">
        <v>390</v>
      </c>
      <c r="B298">
        <v>193</v>
      </c>
      <c r="C298" s="1">
        <v>102837</v>
      </c>
      <c r="D298" s="1">
        <v>423508</v>
      </c>
    </row>
    <row r="299" spans="1:4">
      <c r="A299" t="s">
        <v>391</v>
      </c>
      <c r="B299">
        <v>194</v>
      </c>
      <c r="C299" s="1">
        <v>102843</v>
      </c>
      <c r="D299" s="1">
        <v>102843</v>
      </c>
    </row>
    <row r="300" spans="1:4">
      <c r="A300" t="s">
        <v>392</v>
      </c>
      <c r="B300">
        <v>195</v>
      </c>
      <c r="C300" s="1">
        <v>102315</v>
      </c>
      <c r="D300" s="1">
        <v>102315</v>
      </c>
    </row>
    <row r="301" spans="1:4">
      <c r="A301" t="s">
        <v>393</v>
      </c>
      <c r="B301">
        <v>196</v>
      </c>
      <c r="C301" s="1">
        <v>102939</v>
      </c>
      <c r="D301" s="1">
        <v>102939</v>
      </c>
    </row>
    <row r="302" spans="1:4">
      <c r="A302" t="s">
        <v>394</v>
      </c>
      <c r="B302">
        <v>197</v>
      </c>
      <c r="C302" s="1">
        <v>102947</v>
      </c>
      <c r="D302" s="1">
        <v>102947</v>
      </c>
    </row>
    <row r="303" spans="1:4">
      <c r="A303" t="s">
        <v>395</v>
      </c>
      <c r="B303">
        <v>198</v>
      </c>
      <c r="C303" s="1">
        <v>102949</v>
      </c>
      <c r="D303" s="1">
        <v>102949</v>
      </c>
    </row>
    <row r="304" spans="1:4">
      <c r="A304" t="s">
        <v>396</v>
      </c>
      <c r="B304">
        <v>199</v>
      </c>
      <c r="C304" s="1">
        <v>102960</v>
      </c>
      <c r="D304" s="1">
        <v>102960</v>
      </c>
    </row>
    <row r="305" spans="1:4">
      <c r="A305" t="s">
        <v>397</v>
      </c>
      <c r="B305">
        <v>2</v>
      </c>
      <c r="C305" s="1">
        <v>117871</v>
      </c>
      <c r="D305" s="1">
        <v>117871</v>
      </c>
    </row>
    <row r="306" spans="1:4">
      <c r="A306" t="s">
        <v>398</v>
      </c>
      <c r="B306">
        <v>20</v>
      </c>
      <c r="C306" s="1">
        <v>117930</v>
      </c>
      <c r="D306" s="1">
        <v>117930</v>
      </c>
    </row>
    <row r="307" spans="1:4">
      <c r="A307" t="s">
        <v>399</v>
      </c>
      <c r="B307">
        <v>200</v>
      </c>
      <c r="C307" s="1">
        <v>101403</v>
      </c>
      <c r="D307" s="1">
        <v>101403</v>
      </c>
    </row>
    <row r="308" spans="1:4">
      <c r="A308" t="s">
        <v>400</v>
      </c>
      <c r="B308">
        <v>201</v>
      </c>
      <c r="C308" s="1">
        <v>254665</v>
      </c>
      <c r="D308" s="1">
        <v>102989</v>
      </c>
    </row>
    <row r="309" spans="1:4">
      <c r="A309" t="s">
        <v>401</v>
      </c>
      <c r="B309">
        <v>202</v>
      </c>
      <c r="C309" s="1">
        <v>102412</v>
      </c>
      <c r="D309" s="1">
        <v>102412</v>
      </c>
    </row>
    <row r="310" spans="1:4">
      <c r="A310" t="s">
        <v>402</v>
      </c>
      <c r="B310">
        <v>203</v>
      </c>
      <c r="C310" s="1">
        <v>102412</v>
      </c>
      <c r="D310" s="1">
        <v>102412</v>
      </c>
    </row>
    <row r="311" spans="1:4">
      <c r="A311" t="s">
        <v>403</v>
      </c>
      <c r="B311">
        <v>204</v>
      </c>
      <c r="C311" s="1">
        <v>102419</v>
      </c>
      <c r="D311" s="1">
        <v>102419</v>
      </c>
    </row>
    <row r="312" spans="1:4">
      <c r="A312" t="s">
        <v>404</v>
      </c>
      <c r="B312">
        <v>205</v>
      </c>
      <c r="C312" s="1">
        <v>102420</v>
      </c>
      <c r="D312" s="1">
        <v>102420</v>
      </c>
    </row>
    <row r="313" spans="1:4">
      <c r="A313" t="s">
        <v>405</v>
      </c>
      <c r="B313">
        <v>206</v>
      </c>
      <c r="C313" s="1">
        <v>101569</v>
      </c>
      <c r="D313" s="1">
        <v>101569</v>
      </c>
    </row>
    <row r="314" spans="1:4">
      <c r="A314" t="s">
        <v>406</v>
      </c>
      <c r="B314">
        <v>207</v>
      </c>
      <c r="C314" s="1">
        <v>102440</v>
      </c>
      <c r="D314" s="1">
        <v>102440</v>
      </c>
    </row>
    <row r="315" spans="1:4">
      <c r="A315" t="s">
        <v>407</v>
      </c>
      <c r="B315">
        <v>208</v>
      </c>
      <c r="C315" s="1">
        <v>101573</v>
      </c>
      <c r="D315" s="1">
        <v>101573</v>
      </c>
    </row>
    <row r="316" spans="1:4">
      <c r="A316" t="s">
        <v>408</v>
      </c>
      <c r="B316">
        <v>209</v>
      </c>
      <c r="C316" s="1">
        <v>101469</v>
      </c>
      <c r="D316" s="1">
        <v>101469</v>
      </c>
    </row>
    <row r="317" spans="1:4">
      <c r="A317" t="s">
        <v>409</v>
      </c>
      <c r="B317">
        <v>21</v>
      </c>
      <c r="C317" s="1">
        <v>117932</v>
      </c>
      <c r="D317" s="1">
        <v>117932</v>
      </c>
    </row>
    <row r="318" spans="1:4">
      <c r="A318" t="s">
        <v>410</v>
      </c>
      <c r="B318">
        <v>210</v>
      </c>
      <c r="C318" s="1">
        <v>102857</v>
      </c>
      <c r="D318" s="1">
        <v>102857</v>
      </c>
    </row>
    <row r="319" spans="1:4">
      <c r="A319" t="s">
        <v>411</v>
      </c>
      <c r="B319">
        <v>211</v>
      </c>
      <c r="C319" s="1">
        <v>103116</v>
      </c>
      <c r="D319" s="1">
        <v>103116</v>
      </c>
    </row>
    <row r="320" spans="1:4">
      <c r="A320" t="s">
        <v>412</v>
      </c>
      <c r="B320">
        <v>212</v>
      </c>
      <c r="C320" s="1">
        <v>103128</v>
      </c>
      <c r="D320" s="1">
        <v>103128</v>
      </c>
    </row>
    <row r="321" spans="1:4">
      <c r="A321" t="s">
        <v>413</v>
      </c>
      <c r="B321">
        <v>213</v>
      </c>
      <c r="C321" s="1">
        <v>103129</v>
      </c>
      <c r="D321" s="1">
        <v>103129</v>
      </c>
    </row>
    <row r="322" spans="1:4">
      <c r="A322" t="s">
        <v>414</v>
      </c>
      <c r="B322">
        <v>214</v>
      </c>
      <c r="C322" s="1">
        <v>103132</v>
      </c>
      <c r="D322" s="1">
        <v>103132</v>
      </c>
    </row>
    <row r="323" spans="1:4">
      <c r="A323" t="s">
        <v>415</v>
      </c>
      <c r="B323">
        <v>215</v>
      </c>
      <c r="C323" s="1">
        <v>103133</v>
      </c>
      <c r="D323" s="1">
        <v>103133</v>
      </c>
    </row>
    <row r="324" spans="1:4">
      <c r="A324" t="s">
        <v>416</v>
      </c>
      <c r="B324">
        <v>216</v>
      </c>
      <c r="C324" s="1">
        <v>102999</v>
      </c>
      <c r="D324" s="1">
        <v>102999</v>
      </c>
    </row>
    <row r="325" spans="1:4">
      <c r="A325" t="s">
        <v>417</v>
      </c>
      <c r="B325">
        <v>217</v>
      </c>
      <c r="C325" s="1">
        <v>103007</v>
      </c>
      <c r="D325" s="1">
        <v>103007</v>
      </c>
    </row>
    <row r="326" spans="1:4">
      <c r="A326" t="s">
        <v>418</v>
      </c>
      <c r="B326">
        <v>218</v>
      </c>
      <c r="C326" s="1">
        <v>103008</v>
      </c>
      <c r="D326" s="1">
        <v>103008</v>
      </c>
    </row>
    <row r="327" spans="1:4">
      <c r="A327" t="s">
        <v>419</v>
      </c>
      <c r="B327">
        <v>219</v>
      </c>
      <c r="C327" s="1">
        <v>103013</v>
      </c>
      <c r="D327" s="1">
        <v>103013</v>
      </c>
    </row>
    <row r="328" spans="1:4">
      <c r="A328" t="s">
        <v>420</v>
      </c>
      <c r="B328">
        <v>22</v>
      </c>
      <c r="C328" s="1">
        <v>117934</v>
      </c>
      <c r="D328" s="1">
        <v>117934</v>
      </c>
    </row>
    <row r="329" spans="1:4">
      <c r="A329" t="s">
        <v>421</v>
      </c>
      <c r="B329">
        <v>220</v>
      </c>
      <c r="C329" s="1">
        <v>103016</v>
      </c>
      <c r="D329" s="1">
        <v>549692</v>
      </c>
    </row>
    <row r="330" spans="1:4">
      <c r="A330" t="s">
        <v>422</v>
      </c>
      <c r="B330">
        <v>221</v>
      </c>
      <c r="C330" s="1">
        <v>558258</v>
      </c>
      <c r="D330" s="1">
        <v>103019</v>
      </c>
    </row>
    <row r="331" spans="1:4">
      <c r="A331" t="s">
        <v>423</v>
      </c>
      <c r="B331">
        <v>222</v>
      </c>
      <c r="C331" s="1">
        <v>148600</v>
      </c>
      <c r="D331" s="1">
        <v>103020</v>
      </c>
    </row>
    <row r="332" spans="1:4">
      <c r="A332" t="s">
        <v>424</v>
      </c>
      <c r="B332">
        <v>223</v>
      </c>
      <c r="C332" s="1">
        <v>423642</v>
      </c>
      <c r="D332" s="1">
        <v>423642</v>
      </c>
    </row>
    <row r="333" spans="1:4">
      <c r="A333" t="s">
        <v>425</v>
      </c>
      <c r="B333">
        <v>224</v>
      </c>
      <c r="C333" s="1">
        <v>103079</v>
      </c>
      <c r="D333" s="1">
        <v>103079</v>
      </c>
    </row>
    <row r="334" spans="1:4">
      <c r="A334" t="s">
        <v>426</v>
      </c>
      <c r="B334">
        <v>225</v>
      </c>
      <c r="C334" s="1">
        <v>103080</v>
      </c>
      <c r="D334" s="1">
        <v>103080</v>
      </c>
    </row>
    <row r="335" spans="1:4">
      <c r="A335" t="s">
        <v>427</v>
      </c>
      <c r="B335">
        <v>226</v>
      </c>
      <c r="C335" s="1">
        <v>148577</v>
      </c>
      <c r="D335" s="1">
        <v>102646</v>
      </c>
    </row>
    <row r="336" spans="1:4">
      <c r="A336" t="s">
        <v>428</v>
      </c>
      <c r="B336">
        <v>227</v>
      </c>
      <c r="C336" s="1">
        <v>103188</v>
      </c>
      <c r="D336" s="1">
        <v>103188</v>
      </c>
    </row>
    <row r="337" spans="1:4">
      <c r="A337" t="s">
        <v>429</v>
      </c>
      <c r="B337">
        <v>228</v>
      </c>
      <c r="C337" s="1">
        <v>103194</v>
      </c>
      <c r="D337" s="1">
        <v>103196</v>
      </c>
    </row>
    <row r="338" spans="1:4">
      <c r="A338" t="s">
        <v>430</v>
      </c>
      <c r="B338">
        <v>229</v>
      </c>
      <c r="C338" s="1">
        <v>182688</v>
      </c>
      <c r="D338" s="1">
        <v>1133</v>
      </c>
    </row>
    <row r="339" spans="1:4">
      <c r="A339" t="s">
        <v>431</v>
      </c>
      <c r="B339">
        <v>23</v>
      </c>
      <c r="C339" s="1">
        <v>117935</v>
      </c>
      <c r="D339" s="1">
        <v>117935</v>
      </c>
    </row>
    <row r="340" spans="1:4">
      <c r="A340" t="s">
        <v>432</v>
      </c>
      <c r="B340">
        <v>230</v>
      </c>
      <c r="C340" s="1">
        <v>136446</v>
      </c>
      <c r="D340" s="1">
        <v>136340</v>
      </c>
    </row>
    <row r="341" spans="1:4">
      <c r="A341" t="s">
        <v>433</v>
      </c>
      <c r="B341">
        <v>231</v>
      </c>
      <c r="C341" s="1">
        <v>106213</v>
      </c>
      <c r="D341" s="1">
        <v>106213</v>
      </c>
    </row>
    <row r="342" spans="1:4">
      <c r="A342" t="s">
        <v>434</v>
      </c>
      <c r="B342">
        <v>232</v>
      </c>
      <c r="C342" s="1">
        <v>106215</v>
      </c>
      <c r="D342" s="1">
        <v>106215</v>
      </c>
    </row>
    <row r="343" spans="1:4">
      <c r="A343" t="s">
        <v>435</v>
      </c>
      <c r="B343">
        <v>233</v>
      </c>
      <c r="C343" s="1">
        <v>106122</v>
      </c>
      <c r="D343" s="1">
        <v>106122</v>
      </c>
    </row>
    <row r="344" spans="1:4">
      <c r="A344" t="s">
        <v>436</v>
      </c>
      <c r="B344">
        <v>234</v>
      </c>
      <c r="C344" s="1">
        <v>106210</v>
      </c>
      <c r="D344" s="1">
        <v>106210</v>
      </c>
    </row>
    <row r="345" spans="1:4">
      <c r="A345" t="s">
        <v>437</v>
      </c>
      <c r="B345">
        <v>235</v>
      </c>
      <c r="C345" s="1">
        <v>106257</v>
      </c>
      <c r="D345" s="1">
        <v>106257</v>
      </c>
    </row>
    <row r="346" spans="1:4">
      <c r="A346" t="s">
        <v>438</v>
      </c>
      <c r="B346">
        <v>236</v>
      </c>
      <c r="C346" s="1">
        <v>110470</v>
      </c>
      <c r="D346" s="1">
        <v>110470</v>
      </c>
    </row>
    <row r="347" spans="1:4">
      <c r="A347" t="s">
        <v>439</v>
      </c>
      <c r="B347">
        <v>237</v>
      </c>
      <c r="C347" s="1">
        <v>110478</v>
      </c>
      <c r="D347" s="1">
        <v>110478</v>
      </c>
    </row>
    <row r="348" spans="1:4">
      <c r="A348" t="s">
        <v>440</v>
      </c>
      <c r="B348">
        <v>238</v>
      </c>
      <c r="C348" s="1">
        <v>110487</v>
      </c>
      <c r="D348" s="1">
        <v>110487</v>
      </c>
    </row>
    <row r="349" spans="1:4">
      <c r="A349" t="s">
        <v>441</v>
      </c>
      <c r="B349">
        <v>239</v>
      </c>
      <c r="C349" s="1">
        <v>110489</v>
      </c>
      <c r="D349" s="1">
        <v>110489</v>
      </c>
    </row>
    <row r="350" spans="1:4">
      <c r="A350" t="s">
        <v>442</v>
      </c>
      <c r="B350">
        <v>24</v>
      </c>
      <c r="C350" s="1">
        <v>158196</v>
      </c>
      <c r="D350" s="1">
        <v>158196</v>
      </c>
    </row>
    <row r="351" spans="1:4">
      <c r="A351" t="s">
        <v>443</v>
      </c>
      <c r="B351">
        <v>240</v>
      </c>
      <c r="C351" s="1">
        <v>181984</v>
      </c>
      <c r="D351" s="1">
        <v>181984</v>
      </c>
    </row>
    <row r="352" spans="1:4">
      <c r="A352" t="s">
        <v>444</v>
      </c>
      <c r="B352">
        <v>241</v>
      </c>
      <c r="C352" s="1">
        <v>110501</v>
      </c>
      <c r="D352" s="1">
        <v>110501</v>
      </c>
    </row>
    <row r="353" spans="1:4">
      <c r="A353" t="s">
        <v>445</v>
      </c>
      <c r="B353">
        <v>242</v>
      </c>
      <c r="C353" s="1">
        <v>110504</v>
      </c>
      <c r="D353" s="1">
        <v>110504</v>
      </c>
    </row>
    <row r="354" spans="1:4">
      <c r="A354" t="s">
        <v>446</v>
      </c>
      <c r="B354">
        <v>243</v>
      </c>
      <c r="C354" s="1">
        <v>110542</v>
      </c>
      <c r="D354" s="1">
        <v>110542</v>
      </c>
    </row>
    <row r="355" spans="1:4">
      <c r="A355" t="s">
        <v>447</v>
      </c>
      <c r="B355">
        <v>244</v>
      </c>
      <c r="C355" s="1">
        <v>110555</v>
      </c>
      <c r="D355" s="1">
        <v>110555</v>
      </c>
    </row>
    <row r="356" spans="1:4">
      <c r="A356" t="s">
        <v>448</v>
      </c>
      <c r="B356">
        <v>245</v>
      </c>
      <c r="C356" s="1">
        <v>182468</v>
      </c>
      <c r="D356" s="1">
        <v>182468</v>
      </c>
    </row>
    <row r="357" spans="1:4">
      <c r="A357" t="s">
        <v>449</v>
      </c>
      <c r="B357">
        <v>246</v>
      </c>
      <c r="C357" s="1">
        <v>1137</v>
      </c>
      <c r="D357" s="1">
        <v>1137</v>
      </c>
    </row>
    <row r="358" spans="1:4">
      <c r="A358" t="s">
        <v>450</v>
      </c>
      <c r="B358">
        <v>247</v>
      </c>
      <c r="C358" s="1">
        <v>157823</v>
      </c>
      <c r="D358" s="1">
        <v>110517</v>
      </c>
    </row>
    <row r="359" spans="1:4">
      <c r="A359" t="s">
        <v>451</v>
      </c>
      <c r="B359">
        <v>248</v>
      </c>
      <c r="C359" s="1">
        <v>148682</v>
      </c>
      <c r="D359" s="1">
        <v>110619</v>
      </c>
    </row>
    <row r="360" spans="1:4">
      <c r="A360" t="s">
        <v>452</v>
      </c>
      <c r="B360">
        <v>249</v>
      </c>
      <c r="C360" s="1">
        <v>110593</v>
      </c>
      <c r="D360" s="1">
        <v>110593</v>
      </c>
    </row>
    <row r="361" spans="1:4">
      <c r="A361" t="s">
        <v>453</v>
      </c>
      <c r="B361">
        <v>25</v>
      </c>
      <c r="C361" s="1">
        <v>117939</v>
      </c>
      <c r="D361" s="1">
        <v>117939</v>
      </c>
    </row>
    <row r="362" spans="1:4">
      <c r="A362" t="s">
        <v>47</v>
      </c>
      <c r="B362">
        <v>250</v>
      </c>
      <c r="C362" s="1">
        <v>107552</v>
      </c>
      <c r="D362" s="1">
        <v>107552</v>
      </c>
    </row>
    <row r="363" spans="1:4">
      <c r="A363" t="s">
        <v>454</v>
      </c>
      <c r="B363">
        <v>251</v>
      </c>
      <c r="C363" s="1">
        <v>107567</v>
      </c>
      <c r="D363" s="1">
        <v>107567</v>
      </c>
    </row>
    <row r="364" spans="1:4">
      <c r="A364" t="s">
        <v>455</v>
      </c>
      <c r="B364">
        <v>252</v>
      </c>
      <c r="C364" s="1">
        <v>107568</v>
      </c>
      <c r="D364" s="1">
        <v>107568</v>
      </c>
    </row>
    <row r="365" spans="1:4">
      <c r="A365" t="s">
        <v>456</v>
      </c>
      <c r="B365">
        <v>253</v>
      </c>
      <c r="C365" s="1">
        <v>1130</v>
      </c>
      <c r="D365" s="1">
        <v>1130</v>
      </c>
    </row>
    <row r="366" spans="1:4">
      <c r="A366" t="s">
        <v>457</v>
      </c>
      <c r="B366">
        <v>254</v>
      </c>
      <c r="C366" s="1">
        <v>107568</v>
      </c>
      <c r="D366" s="1">
        <v>107568</v>
      </c>
    </row>
    <row r="367" spans="1:4">
      <c r="A367" t="s">
        <v>458</v>
      </c>
      <c r="B367">
        <v>255</v>
      </c>
      <c r="C367" s="1">
        <v>107504</v>
      </c>
      <c r="D367" s="1">
        <v>107504</v>
      </c>
    </row>
    <row r="368" spans="1:4">
      <c r="A368" t="s">
        <v>459</v>
      </c>
      <c r="B368">
        <v>256</v>
      </c>
      <c r="C368" s="1">
        <v>107521</v>
      </c>
      <c r="D368" s="1">
        <v>107521</v>
      </c>
    </row>
    <row r="369" spans="1:4">
      <c r="A369" t="s">
        <v>460</v>
      </c>
      <c r="B369">
        <v>257</v>
      </c>
      <c r="C369" s="1">
        <v>107322</v>
      </c>
      <c r="D369" s="1">
        <v>107322</v>
      </c>
    </row>
    <row r="370" spans="1:4">
      <c r="A370" t="s">
        <v>461</v>
      </c>
      <c r="B370">
        <v>258</v>
      </c>
      <c r="C370" s="1">
        <v>107240</v>
      </c>
      <c r="D370" s="1">
        <v>107240</v>
      </c>
    </row>
    <row r="371" spans="1:4">
      <c r="A371" t="s">
        <v>462</v>
      </c>
      <c r="B371">
        <v>259</v>
      </c>
      <c r="C371" s="1">
        <v>589476</v>
      </c>
      <c r="D371" s="1">
        <v>107651</v>
      </c>
    </row>
    <row r="372" spans="1:4">
      <c r="A372" t="s">
        <v>463</v>
      </c>
      <c r="B372">
        <v>26</v>
      </c>
      <c r="C372" s="1">
        <v>117940</v>
      </c>
      <c r="D372" s="1">
        <v>117940</v>
      </c>
    </row>
    <row r="373" spans="1:4">
      <c r="A373" t="s">
        <v>464</v>
      </c>
      <c r="B373">
        <v>260</v>
      </c>
      <c r="C373" s="1">
        <v>1131</v>
      </c>
      <c r="D373" s="1">
        <v>1131</v>
      </c>
    </row>
    <row r="374" spans="1:4">
      <c r="A374" t="s">
        <v>65</v>
      </c>
      <c r="B374">
        <v>261</v>
      </c>
      <c r="C374" s="1">
        <v>118715</v>
      </c>
      <c r="D374" s="1">
        <v>264171</v>
      </c>
    </row>
    <row r="375" spans="1:4">
      <c r="A375" t="s">
        <v>465</v>
      </c>
      <c r="B375">
        <v>262</v>
      </c>
      <c r="C375" s="1">
        <v>118917</v>
      </c>
      <c r="D375" s="1">
        <v>118917</v>
      </c>
    </row>
    <row r="376" spans="1:4">
      <c r="A376" t="s">
        <v>466</v>
      </c>
      <c r="B376">
        <v>263</v>
      </c>
      <c r="C376" s="1">
        <v>118754</v>
      </c>
      <c r="D376" s="1">
        <v>118754</v>
      </c>
    </row>
    <row r="377" spans="1:4">
      <c r="A377" t="s">
        <v>467</v>
      </c>
      <c r="B377">
        <v>264</v>
      </c>
      <c r="C377" s="1">
        <v>118798</v>
      </c>
      <c r="D377" s="1">
        <v>118798</v>
      </c>
    </row>
    <row r="378" spans="1:4">
      <c r="A378" t="s">
        <v>468</v>
      </c>
      <c r="B378">
        <v>265</v>
      </c>
      <c r="C378" s="1">
        <v>119034</v>
      </c>
      <c r="D378" s="1">
        <v>119034</v>
      </c>
    </row>
    <row r="379" spans="1:4">
      <c r="A379" t="s">
        <v>469</v>
      </c>
      <c r="B379">
        <v>266</v>
      </c>
      <c r="C379" s="1">
        <v>119886</v>
      </c>
      <c r="D379" s="1">
        <v>119886</v>
      </c>
    </row>
    <row r="380" spans="1:4">
      <c r="A380" t="s">
        <v>470</v>
      </c>
      <c r="B380">
        <v>267</v>
      </c>
      <c r="C380" s="1">
        <v>102726</v>
      </c>
      <c r="D380" s="1">
        <v>102726</v>
      </c>
    </row>
    <row r="381" spans="1:4">
      <c r="A381" t="s">
        <v>471</v>
      </c>
      <c r="B381">
        <v>268</v>
      </c>
      <c r="C381" s="1">
        <v>379248</v>
      </c>
      <c r="D381" s="1">
        <v>134598</v>
      </c>
    </row>
    <row r="382" spans="1:4">
      <c r="A382" t="s">
        <v>472</v>
      </c>
      <c r="B382">
        <v>269</v>
      </c>
      <c r="C382" s="1">
        <v>134630</v>
      </c>
      <c r="D382" s="1">
        <v>134630</v>
      </c>
    </row>
    <row r="383" spans="1:4">
      <c r="A383" t="s">
        <v>473</v>
      </c>
      <c r="B383">
        <v>27</v>
      </c>
      <c r="C383" s="1">
        <v>117260</v>
      </c>
      <c r="D383" s="1">
        <v>117260</v>
      </c>
    </row>
    <row r="384" spans="1:4">
      <c r="A384" t="s">
        <v>474</v>
      </c>
      <c r="B384">
        <v>270</v>
      </c>
      <c r="C384" s="1">
        <v>150585</v>
      </c>
      <c r="D384" s="1">
        <v>134691</v>
      </c>
    </row>
    <row r="385" spans="1:4">
      <c r="A385" t="s">
        <v>475</v>
      </c>
      <c r="B385">
        <v>271</v>
      </c>
      <c r="C385" s="1">
        <v>150520</v>
      </c>
      <c r="D385" s="1">
        <v>150520</v>
      </c>
    </row>
    <row r="386" spans="1:4">
      <c r="A386" t="s">
        <v>476</v>
      </c>
      <c r="B386">
        <v>272</v>
      </c>
      <c r="C386" s="1">
        <v>134688</v>
      </c>
      <c r="D386" s="1">
        <v>134688</v>
      </c>
    </row>
    <row r="387" spans="1:4">
      <c r="A387" t="s">
        <v>477</v>
      </c>
      <c r="B387">
        <v>273</v>
      </c>
      <c r="C387" s="1">
        <v>134696</v>
      </c>
      <c r="D387" s="1">
        <v>134696</v>
      </c>
    </row>
    <row r="388" spans="1:4">
      <c r="A388" t="s">
        <v>478</v>
      </c>
      <c r="B388">
        <v>274</v>
      </c>
      <c r="C388" s="1">
        <v>134700</v>
      </c>
      <c r="D388" s="1">
        <v>134700</v>
      </c>
    </row>
    <row r="389" spans="1:4">
      <c r="A389" t="s">
        <v>479</v>
      </c>
      <c r="B389">
        <v>275</v>
      </c>
      <c r="C389" s="1">
        <v>134705</v>
      </c>
      <c r="D389" s="1">
        <v>150520</v>
      </c>
    </row>
    <row r="390" spans="1:4">
      <c r="A390" t="s">
        <v>33</v>
      </c>
      <c r="B390">
        <v>276</v>
      </c>
      <c r="C390" s="1">
        <v>134591</v>
      </c>
      <c r="D390" s="1">
        <v>134591</v>
      </c>
    </row>
    <row r="391" spans="1:4">
      <c r="A391" t="s">
        <v>480</v>
      </c>
      <c r="B391">
        <v>277</v>
      </c>
      <c r="C391" s="1">
        <v>134741</v>
      </c>
      <c r="D391" s="1">
        <v>134741</v>
      </c>
    </row>
    <row r="392" spans="1:4">
      <c r="A392" t="s">
        <v>481</v>
      </c>
      <c r="B392">
        <v>278</v>
      </c>
      <c r="C392" s="1">
        <v>134655</v>
      </c>
      <c r="D392" s="1">
        <v>134655</v>
      </c>
    </row>
    <row r="393" spans="1:4">
      <c r="A393" t="s">
        <v>482</v>
      </c>
      <c r="B393">
        <v>279</v>
      </c>
      <c r="C393" s="1">
        <v>134658</v>
      </c>
      <c r="D393" s="1">
        <v>134658</v>
      </c>
    </row>
    <row r="394" spans="1:4">
      <c r="A394" t="s">
        <v>483</v>
      </c>
      <c r="B394">
        <v>28</v>
      </c>
      <c r="C394" s="1">
        <v>565157</v>
      </c>
      <c r="D394" s="1">
        <v>254368</v>
      </c>
    </row>
    <row r="395" spans="1:4">
      <c r="A395" t="s">
        <v>484</v>
      </c>
      <c r="B395">
        <v>280</v>
      </c>
      <c r="C395" s="1">
        <v>1358</v>
      </c>
      <c r="D395" s="1">
        <v>1358</v>
      </c>
    </row>
    <row r="396" spans="1:4">
      <c r="A396" t="s">
        <v>53</v>
      </c>
      <c r="B396">
        <v>281</v>
      </c>
      <c r="C396" s="1">
        <v>118100</v>
      </c>
      <c r="D396" s="1">
        <v>118100</v>
      </c>
    </row>
    <row r="397" spans="1:4">
      <c r="A397" t="s">
        <v>485</v>
      </c>
      <c r="B397">
        <v>282</v>
      </c>
      <c r="C397" s="1">
        <v>146803</v>
      </c>
      <c r="D397" s="1">
        <v>146803</v>
      </c>
    </row>
    <row r="398" spans="1:4">
      <c r="A398" t="s">
        <v>486</v>
      </c>
      <c r="B398">
        <v>283</v>
      </c>
      <c r="C398" s="1">
        <v>150876</v>
      </c>
      <c r="D398" s="1">
        <v>150875</v>
      </c>
    </row>
    <row r="399" spans="1:4">
      <c r="A399" t="s">
        <v>487</v>
      </c>
      <c r="B399">
        <v>284</v>
      </c>
      <c r="C399" s="1">
        <v>151024</v>
      </c>
      <c r="D399" s="1">
        <v>151024</v>
      </c>
    </row>
    <row r="400" spans="1:4">
      <c r="A400" t="s">
        <v>488</v>
      </c>
      <c r="B400">
        <v>285</v>
      </c>
      <c r="C400" s="1">
        <v>118088</v>
      </c>
      <c r="D400" s="1">
        <v>118088</v>
      </c>
    </row>
    <row r="401" spans="1:4">
      <c r="A401" t="s">
        <v>489</v>
      </c>
      <c r="B401">
        <v>286</v>
      </c>
      <c r="C401" s="1">
        <v>150930</v>
      </c>
      <c r="D401" s="1">
        <v>150930</v>
      </c>
    </row>
    <row r="402" spans="1:4">
      <c r="A402" t="s">
        <v>490</v>
      </c>
      <c r="B402">
        <v>287</v>
      </c>
      <c r="C402" s="1">
        <v>391173</v>
      </c>
      <c r="D402" s="1">
        <v>391173</v>
      </c>
    </row>
    <row r="403" spans="1:4">
      <c r="A403" t="s">
        <v>491</v>
      </c>
      <c r="B403">
        <v>288</v>
      </c>
      <c r="C403" s="1" t="s">
        <v>25</v>
      </c>
      <c r="D403" s="1" t="s">
        <v>25</v>
      </c>
    </row>
    <row r="404" spans="1:4">
      <c r="A404" t="s">
        <v>492</v>
      </c>
      <c r="B404">
        <v>289</v>
      </c>
      <c r="C404" s="1" t="s">
        <v>25</v>
      </c>
      <c r="D404" s="1" t="s">
        <v>25</v>
      </c>
    </row>
    <row r="405" spans="1:4">
      <c r="A405" t="s">
        <v>493</v>
      </c>
      <c r="B405">
        <v>29</v>
      </c>
      <c r="C405" s="1">
        <v>117333</v>
      </c>
      <c r="D405" s="1">
        <v>117333</v>
      </c>
    </row>
    <row r="406" spans="1:4">
      <c r="A406" t="s">
        <v>494</v>
      </c>
      <c r="B406">
        <v>290</v>
      </c>
      <c r="C406" s="1">
        <v>140628</v>
      </c>
      <c r="D406" s="1">
        <v>140628</v>
      </c>
    </row>
    <row r="407" spans="1:4">
      <c r="A407" t="s">
        <v>495</v>
      </c>
      <c r="B407">
        <v>291</v>
      </c>
      <c r="C407" s="1">
        <v>140629</v>
      </c>
      <c r="D407" s="1">
        <v>140629</v>
      </c>
    </row>
    <row r="408" spans="1:4">
      <c r="A408" t="s">
        <v>496</v>
      </c>
      <c r="B408">
        <v>292</v>
      </c>
      <c r="C408" s="1">
        <v>150457</v>
      </c>
      <c r="D408" s="1">
        <v>150457</v>
      </c>
    </row>
    <row r="409" spans="1:4">
      <c r="A409" t="s">
        <v>497</v>
      </c>
      <c r="B409">
        <v>293</v>
      </c>
      <c r="C409" s="1">
        <v>140640</v>
      </c>
      <c r="D409" s="1">
        <v>140640</v>
      </c>
    </row>
    <row r="410" spans="1:4">
      <c r="A410" t="s">
        <v>498</v>
      </c>
      <c r="B410">
        <v>294</v>
      </c>
      <c r="C410" s="1">
        <v>138288</v>
      </c>
      <c r="D410" s="1">
        <v>138288</v>
      </c>
    </row>
    <row r="411" spans="1:4">
      <c r="A411" t="s">
        <v>499</v>
      </c>
      <c r="B411">
        <v>295</v>
      </c>
      <c r="C411" s="1">
        <v>715906</v>
      </c>
      <c r="D411" s="1">
        <v>140029</v>
      </c>
    </row>
    <row r="412" spans="1:4">
      <c r="A412" t="s">
        <v>500</v>
      </c>
      <c r="B412">
        <v>296</v>
      </c>
      <c r="C412" s="1">
        <v>139134</v>
      </c>
      <c r="D412" s="1">
        <v>139134</v>
      </c>
    </row>
    <row r="413" spans="1:4">
      <c r="A413" t="s">
        <v>501</v>
      </c>
      <c r="B413">
        <v>297</v>
      </c>
      <c r="C413" s="1">
        <v>182807</v>
      </c>
      <c r="D413" s="1">
        <v>182807</v>
      </c>
    </row>
    <row r="414" spans="1:4">
      <c r="A414" t="s">
        <v>502</v>
      </c>
      <c r="B414">
        <v>298</v>
      </c>
      <c r="C414" s="1">
        <v>146479</v>
      </c>
      <c r="D414" s="1">
        <v>138969</v>
      </c>
    </row>
    <row r="415" spans="1:4">
      <c r="A415" t="s">
        <v>503</v>
      </c>
      <c r="B415">
        <v>299</v>
      </c>
      <c r="C415" s="1">
        <v>433471</v>
      </c>
      <c r="D415" s="1">
        <v>433471</v>
      </c>
    </row>
    <row r="416" spans="1:4">
      <c r="A416" t="s">
        <v>504</v>
      </c>
      <c r="B416">
        <v>3</v>
      </c>
      <c r="C416" s="1">
        <v>117879</v>
      </c>
      <c r="D416" s="1">
        <v>117879</v>
      </c>
    </row>
    <row r="417" spans="1:4">
      <c r="A417" t="s">
        <v>505</v>
      </c>
      <c r="B417">
        <v>30</v>
      </c>
      <c r="C417" s="1">
        <v>117640</v>
      </c>
      <c r="D417" s="1">
        <v>731056</v>
      </c>
    </row>
    <row r="418" spans="1:4">
      <c r="A418" t="s">
        <v>506</v>
      </c>
      <c r="B418">
        <v>300</v>
      </c>
      <c r="C418" s="1">
        <v>160246</v>
      </c>
      <c r="D418" s="1">
        <v>160246</v>
      </c>
    </row>
    <row r="419" spans="1:4">
      <c r="A419" t="s">
        <v>507</v>
      </c>
      <c r="B419">
        <v>301</v>
      </c>
      <c r="C419" s="1">
        <v>160248</v>
      </c>
      <c r="D419" s="1">
        <v>160248</v>
      </c>
    </row>
    <row r="420" spans="1:4">
      <c r="A420" t="s">
        <v>508</v>
      </c>
      <c r="B420">
        <v>302</v>
      </c>
      <c r="C420" s="1">
        <v>139306</v>
      </c>
      <c r="D420" s="1">
        <v>139306</v>
      </c>
    </row>
    <row r="421" spans="1:4">
      <c r="A421" t="s">
        <v>509</v>
      </c>
      <c r="B421">
        <v>303</v>
      </c>
      <c r="C421" s="1">
        <v>367567</v>
      </c>
      <c r="D421" s="1">
        <v>367567</v>
      </c>
    </row>
    <row r="422" spans="1:4">
      <c r="A422" t="s">
        <v>510</v>
      </c>
      <c r="B422">
        <v>304</v>
      </c>
      <c r="C422" s="1">
        <v>153867</v>
      </c>
      <c r="D422" s="1">
        <v>434726</v>
      </c>
    </row>
    <row r="423" spans="1:4">
      <c r="A423" t="s">
        <v>511</v>
      </c>
      <c r="B423">
        <v>305</v>
      </c>
      <c r="C423" s="1">
        <v>139320</v>
      </c>
      <c r="D423" s="1">
        <v>139320</v>
      </c>
    </row>
    <row r="424" spans="1:4">
      <c r="A424" t="s">
        <v>512</v>
      </c>
      <c r="B424">
        <v>306</v>
      </c>
      <c r="C424" s="1">
        <v>139325</v>
      </c>
      <c r="D424" s="1">
        <v>139325</v>
      </c>
    </row>
    <row r="425" spans="1:4">
      <c r="A425" t="s">
        <v>513</v>
      </c>
      <c r="B425">
        <v>307</v>
      </c>
      <c r="C425" s="1">
        <v>139327</v>
      </c>
      <c r="D425" s="1">
        <v>139327</v>
      </c>
    </row>
    <row r="426" spans="1:4">
      <c r="A426" t="s">
        <v>514</v>
      </c>
      <c r="B426">
        <v>308</v>
      </c>
      <c r="C426" s="1">
        <v>139328</v>
      </c>
      <c r="D426" s="1">
        <v>139328</v>
      </c>
    </row>
    <row r="427" spans="1:4">
      <c r="A427" t="s">
        <v>515</v>
      </c>
      <c r="B427">
        <v>309</v>
      </c>
      <c r="C427" s="1">
        <v>137826</v>
      </c>
      <c r="D427" s="1">
        <v>137826</v>
      </c>
    </row>
    <row r="428" spans="1:4">
      <c r="A428" t="s">
        <v>516</v>
      </c>
      <c r="B428">
        <v>31</v>
      </c>
      <c r="C428" s="1">
        <v>117643</v>
      </c>
      <c r="D428" s="1">
        <v>117643</v>
      </c>
    </row>
    <row r="429" spans="1:4">
      <c r="A429" t="s">
        <v>517</v>
      </c>
      <c r="B429">
        <v>310</v>
      </c>
      <c r="C429" s="1">
        <v>160451</v>
      </c>
      <c r="D429" s="1">
        <v>160451</v>
      </c>
    </row>
    <row r="430" spans="1:4">
      <c r="A430" t="s">
        <v>518</v>
      </c>
      <c r="B430">
        <v>311</v>
      </c>
      <c r="C430" s="1">
        <v>160455</v>
      </c>
      <c r="D430" s="1">
        <v>160455</v>
      </c>
    </row>
    <row r="431" spans="1:4">
      <c r="A431" t="s">
        <v>519</v>
      </c>
      <c r="B431">
        <v>312</v>
      </c>
      <c r="C431" s="1">
        <v>160451</v>
      </c>
      <c r="D431" s="1">
        <v>160451</v>
      </c>
    </row>
    <row r="432" spans="1:4">
      <c r="A432" t="s">
        <v>520</v>
      </c>
      <c r="B432">
        <v>313</v>
      </c>
      <c r="C432" s="1">
        <v>160450</v>
      </c>
      <c r="D432" s="1">
        <v>160450</v>
      </c>
    </row>
    <row r="433" spans="1:4">
      <c r="A433" t="s">
        <v>521</v>
      </c>
      <c r="B433">
        <v>314</v>
      </c>
      <c r="C433" s="1">
        <v>160448</v>
      </c>
      <c r="D433" s="1">
        <v>160448</v>
      </c>
    </row>
    <row r="434" spans="1:4">
      <c r="A434" t="s">
        <v>522</v>
      </c>
      <c r="B434">
        <v>315</v>
      </c>
      <c r="C434" s="1">
        <v>160447</v>
      </c>
      <c r="D434" s="1">
        <v>160447</v>
      </c>
    </row>
    <row r="435" spans="1:4">
      <c r="A435" t="s">
        <v>523</v>
      </c>
      <c r="B435">
        <v>316</v>
      </c>
      <c r="C435" s="1">
        <v>367573</v>
      </c>
      <c r="D435" s="1">
        <v>367573</v>
      </c>
    </row>
    <row r="436" spans="1:4">
      <c r="A436" t="s">
        <v>524</v>
      </c>
      <c r="B436">
        <v>317</v>
      </c>
      <c r="C436" s="1">
        <v>432862</v>
      </c>
      <c r="D436" s="1">
        <v>138969</v>
      </c>
    </row>
    <row r="437" spans="1:4">
      <c r="A437" t="s">
        <v>525</v>
      </c>
      <c r="B437">
        <v>318</v>
      </c>
      <c r="C437" s="1">
        <v>138709</v>
      </c>
      <c r="D437" s="1">
        <v>138709</v>
      </c>
    </row>
    <row r="438" spans="1:4">
      <c r="A438" t="s">
        <v>526</v>
      </c>
      <c r="B438">
        <v>319</v>
      </c>
      <c r="C438" s="1">
        <v>423273</v>
      </c>
      <c r="D438" s="1">
        <v>1047478</v>
      </c>
    </row>
    <row r="439" spans="1:4">
      <c r="A439" t="s">
        <v>527</v>
      </c>
      <c r="B439">
        <v>32</v>
      </c>
      <c r="C439" s="1">
        <v>117644</v>
      </c>
      <c r="D439" s="1">
        <v>117644</v>
      </c>
    </row>
    <row r="440" spans="1:4">
      <c r="A440" t="s">
        <v>528</v>
      </c>
      <c r="B440">
        <v>320</v>
      </c>
      <c r="C440" s="1" t="s">
        <v>25</v>
      </c>
      <c r="D440" s="1" t="s">
        <v>25</v>
      </c>
    </row>
    <row r="441" spans="1:4">
      <c r="A441" t="s">
        <v>529</v>
      </c>
      <c r="B441">
        <v>321</v>
      </c>
      <c r="C441" s="1">
        <v>423273</v>
      </c>
      <c r="D441" s="1">
        <v>1047478</v>
      </c>
    </row>
    <row r="442" spans="1:4">
      <c r="A442" t="s">
        <v>530</v>
      </c>
      <c r="B442">
        <v>322</v>
      </c>
      <c r="C442" s="1">
        <v>139981</v>
      </c>
      <c r="D442" s="1">
        <v>139981</v>
      </c>
    </row>
    <row r="443" spans="1:4">
      <c r="A443" t="s">
        <v>531</v>
      </c>
      <c r="B443">
        <v>323</v>
      </c>
      <c r="C443" s="1">
        <v>139983</v>
      </c>
      <c r="D443" s="1">
        <v>139983</v>
      </c>
    </row>
    <row r="444" spans="1:4">
      <c r="A444" t="s">
        <v>532</v>
      </c>
      <c r="B444">
        <v>324</v>
      </c>
      <c r="C444" s="1">
        <v>138018</v>
      </c>
      <c r="D444" s="1">
        <v>138018</v>
      </c>
    </row>
    <row r="445" spans="1:4">
      <c r="A445" t="s">
        <v>533</v>
      </c>
      <c r="B445">
        <v>325</v>
      </c>
      <c r="C445" s="1">
        <v>139987</v>
      </c>
      <c r="D445" s="1">
        <v>139987</v>
      </c>
    </row>
    <row r="446" spans="1:4">
      <c r="A446" t="s">
        <v>534</v>
      </c>
      <c r="B446">
        <v>326</v>
      </c>
      <c r="C446" s="1">
        <v>141618</v>
      </c>
      <c r="D446" s="1">
        <v>893251</v>
      </c>
    </row>
    <row r="447" spans="1:4">
      <c r="A447" t="s">
        <v>535</v>
      </c>
      <c r="B447">
        <v>327</v>
      </c>
      <c r="C447" s="1">
        <v>593429</v>
      </c>
      <c r="D447" s="1">
        <v>423296</v>
      </c>
    </row>
    <row r="448" spans="1:4">
      <c r="A448" t="s">
        <v>536</v>
      </c>
      <c r="B448">
        <v>328</v>
      </c>
      <c r="C448" s="1">
        <v>423297</v>
      </c>
      <c r="D448" s="1">
        <v>893251</v>
      </c>
    </row>
    <row r="449" spans="1:4">
      <c r="A449" t="s">
        <v>537</v>
      </c>
      <c r="B449">
        <v>329</v>
      </c>
      <c r="C449" s="1" t="s">
        <v>25</v>
      </c>
      <c r="D449" s="1" t="s">
        <v>25</v>
      </c>
    </row>
    <row r="450" spans="1:4">
      <c r="A450" t="s">
        <v>538</v>
      </c>
      <c r="B450">
        <v>33</v>
      </c>
      <c r="C450" s="1">
        <v>117649</v>
      </c>
      <c r="D450" s="1">
        <v>117649</v>
      </c>
    </row>
    <row r="451" spans="1:4">
      <c r="A451" t="s">
        <v>539</v>
      </c>
      <c r="B451">
        <v>330</v>
      </c>
      <c r="C451" s="1">
        <v>423803</v>
      </c>
      <c r="D451" s="1">
        <v>1036948</v>
      </c>
    </row>
    <row r="452" spans="1:4">
      <c r="A452" t="s">
        <v>540</v>
      </c>
      <c r="B452">
        <v>331</v>
      </c>
      <c r="C452" s="1">
        <v>156709</v>
      </c>
      <c r="D452" s="1">
        <v>156709</v>
      </c>
    </row>
    <row r="453" spans="1:4">
      <c r="A453" t="s">
        <v>541</v>
      </c>
      <c r="B453">
        <v>332</v>
      </c>
      <c r="C453" s="1">
        <v>139523</v>
      </c>
      <c r="D453" s="1">
        <v>139523</v>
      </c>
    </row>
    <row r="454" spans="1:4">
      <c r="A454" t="s">
        <v>542</v>
      </c>
      <c r="B454">
        <v>333</v>
      </c>
      <c r="C454" s="1">
        <v>139525</v>
      </c>
      <c r="D454" s="1">
        <v>139525</v>
      </c>
    </row>
    <row r="455" spans="1:4">
      <c r="A455" t="s">
        <v>543</v>
      </c>
      <c r="B455">
        <v>334</v>
      </c>
      <c r="C455" s="1">
        <v>137885</v>
      </c>
      <c r="D455" s="1">
        <v>137885</v>
      </c>
    </row>
    <row r="456" spans="1:4">
      <c r="A456" t="s">
        <v>544</v>
      </c>
      <c r="B456">
        <v>335</v>
      </c>
      <c r="C456" s="1">
        <v>139765</v>
      </c>
      <c r="D456" s="1">
        <v>139765</v>
      </c>
    </row>
    <row r="457" spans="1:4">
      <c r="A457" t="s">
        <v>545</v>
      </c>
      <c r="B457">
        <v>336</v>
      </c>
      <c r="C457" s="1">
        <v>423078</v>
      </c>
      <c r="D457" s="1">
        <v>423078</v>
      </c>
    </row>
    <row r="458" spans="1:4">
      <c r="A458" t="s">
        <v>546</v>
      </c>
      <c r="B458">
        <v>337</v>
      </c>
      <c r="C458" s="1">
        <v>225802</v>
      </c>
      <c r="D458" s="1">
        <v>140895</v>
      </c>
    </row>
    <row r="459" spans="1:4">
      <c r="A459" t="s">
        <v>547</v>
      </c>
      <c r="B459">
        <v>338</v>
      </c>
      <c r="C459" s="1">
        <v>140970</v>
      </c>
      <c r="D459" s="1">
        <v>140970</v>
      </c>
    </row>
    <row r="460" spans="1:4">
      <c r="A460" t="s">
        <v>548</v>
      </c>
      <c r="B460">
        <v>339</v>
      </c>
      <c r="C460" s="1">
        <v>140521</v>
      </c>
      <c r="D460" s="1">
        <v>140521</v>
      </c>
    </row>
    <row r="461" spans="1:4">
      <c r="A461" t="s">
        <v>549</v>
      </c>
      <c r="B461">
        <v>34</v>
      </c>
      <c r="C461" s="1">
        <v>834720</v>
      </c>
      <c r="D461" s="1">
        <v>834720</v>
      </c>
    </row>
    <row r="462" spans="1:4">
      <c r="A462" t="s">
        <v>550</v>
      </c>
      <c r="B462">
        <v>340</v>
      </c>
      <c r="C462" s="1">
        <v>236795</v>
      </c>
      <c r="D462" s="1">
        <v>140525</v>
      </c>
    </row>
    <row r="463" spans="1:4">
      <c r="A463" t="s">
        <v>551</v>
      </c>
      <c r="B463">
        <v>341</v>
      </c>
      <c r="C463" s="1">
        <v>153850</v>
      </c>
      <c r="D463" s="1">
        <v>140536</v>
      </c>
    </row>
    <row r="464" spans="1:4">
      <c r="A464" t="s">
        <v>552</v>
      </c>
      <c r="B464">
        <v>342</v>
      </c>
      <c r="C464" s="1">
        <v>140551</v>
      </c>
      <c r="D464" s="1">
        <v>140551</v>
      </c>
    </row>
    <row r="465" spans="1:4">
      <c r="A465" t="s">
        <v>553</v>
      </c>
      <c r="B465">
        <v>343</v>
      </c>
      <c r="C465" s="1">
        <v>714762</v>
      </c>
      <c r="D465" s="1">
        <v>714762</v>
      </c>
    </row>
    <row r="466" spans="1:4">
      <c r="A466" t="s">
        <v>554</v>
      </c>
      <c r="B466">
        <v>344</v>
      </c>
      <c r="C466" s="1">
        <v>1567917</v>
      </c>
      <c r="D466" s="1">
        <v>714762</v>
      </c>
    </row>
    <row r="467" spans="1:4">
      <c r="A467" t="s">
        <v>555</v>
      </c>
      <c r="B467">
        <v>345</v>
      </c>
      <c r="C467" s="1">
        <v>140175</v>
      </c>
      <c r="D467" s="1">
        <v>140175</v>
      </c>
    </row>
    <row r="468" spans="1:4">
      <c r="A468" t="s">
        <v>556</v>
      </c>
      <c r="B468">
        <v>346</v>
      </c>
      <c r="C468" s="1">
        <v>141902</v>
      </c>
      <c r="D468" s="1">
        <v>141902</v>
      </c>
    </row>
    <row r="469" spans="1:4">
      <c r="A469" t="s">
        <v>557</v>
      </c>
      <c r="B469">
        <v>347</v>
      </c>
      <c r="C469" s="1">
        <v>138631</v>
      </c>
      <c r="D469" s="1">
        <v>138631</v>
      </c>
    </row>
    <row r="470" spans="1:4">
      <c r="A470" t="s">
        <v>558</v>
      </c>
      <c r="B470">
        <v>348</v>
      </c>
      <c r="C470" s="1">
        <v>141904</v>
      </c>
      <c r="D470" s="1">
        <v>159903</v>
      </c>
    </row>
    <row r="471" spans="1:4">
      <c r="A471" t="s">
        <v>559</v>
      </c>
      <c r="B471">
        <v>349</v>
      </c>
      <c r="C471" s="1">
        <v>141905</v>
      </c>
      <c r="D471" s="1">
        <v>141905</v>
      </c>
    </row>
    <row r="472" spans="1:4">
      <c r="A472" t="s">
        <v>560</v>
      </c>
      <c r="B472">
        <v>35</v>
      </c>
      <c r="C472" s="1">
        <v>835532</v>
      </c>
      <c r="D472" s="1">
        <v>117354</v>
      </c>
    </row>
    <row r="473" spans="1:4">
      <c r="A473" t="s">
        <v>561</v>
      </c>
      <c r="B473">
        <v>350</v>
      </c>
      <c r="C473" s="1">
        <v>160108</v>
      </c>
      <c r="D473" s="1">
        <v>160108</v>
      </c>
    </row>
    <row r="474" spans="1:4">
      <c r="A474" t="s">
        <v>562</v>
      </c>
      <c r="B474">
        <v>351</v>
      </c>
      <c r="C474" s="1">
        <v>146732</v>
      </c>
      <c r="D474" s="1">
        <v>146732</v>
      </c>
    </row>
    <row r="475" spans="1:4">
      <c r="A475" t="s">
        <v>563</v>
      </c>
      <c r="B475">
        <v>352</v>
      </c>
      <c r="C475" s="1">
        <v>146733</v>
      </c>
      <c r="D475" s="1">
        <v>146733</v>
      </c>
    </row>
    <row r="476" spans="1:4">
      <c r="A476" t="s">
        <v>564</v>
      </c>
      <c r="B476">
        <v>353</v>
      </c>
      <c r="C476" s="1">
        <v>138858</v>
      </c>
      <c r="D476" s="1">
        <v>138858</v>
      </c>
    </row>
    <row r="477" spans="1:4">
      <c r="A477" t="s">
        <v>565</v>
      </c>
      <c r="B477">
        <v>354</v>
      </c>
      <c r="C477" s="1">
        <v>138860</v>
      </c>
      <c r="D477" s="1">
        <v>138860</v>
      </c>
    </row>
    <row r="478" spans="1:4">
      <c r="A478" t="s">
        <v>566</v>
      </c>
      <c r="B478">
        <v>355</v>
      </c>
      <c r="C478" s="1">
        <v>138862</v>
      </c>
      <c r="D478" s="1">
        <v>138862</v>
      </c>
    </row>
    <row r="479" spans="1:4">
      <c r="A479" t="s">
        <v>567</v>
      </c>
      <c r="B479">
        <v>356</v>
      </c>
      <c r="C479" s="1">
        <v>423194</v>
      </c>
      <c r="D479" s="1">
        <v>138875</v>
      </c>
    </row>
    <row r="480" spans="1:4">
      <c r="A480" t="s">
        <v>568</v>
      </c>
      <c r="B480">
        <v>357</v>
      </c>
      <c r="C480" s="1">
        <v>138864</v>
      </c>
      <c r="D480" s="1">
        <v>138864</v>
      </c>
    </row>
    <row r="481" spans="1:4">
      <c r="A481" t="s">
        <v>569</v>
      </c>
      <c r="B481">
        <v>358</v>
      </c>
      <c r="C481" s="1">
        <v>138868</v>
      </c>
      <c r="D481" s="1">
        <v>138868</v>
      </c>
    </row>
    <row r="482" spans="1:4">
      <c r="A482" t="s">
        <v>570</v>
      </c>
      <c r="B482">
        <v>359</v>
      </c>
      <c r="C482" s="1">
        <v>137701</v>
      </c>
      <c r="D482" s="1">
        <v>137701</v>
      </c>
    </row>
    <row r="483" spans="1:4">
      <c r="A483" t="s">
        <v>571</v>
      </c>
      <c r="B483">
        <v>36</v>
      </c>
      <c r="C483" s="1">
        <v>117848</v>
      </c>
      <c r="D483" s="1">
        <v>117848</v>
      </c>
    </row>
    <row r="484" spans="1:4">
      <c r="A484" t="s">
        <v>572</v>
      </c>
      <c r="B484">
        <v>360</v>
      </c>
      <c r="C484" s="1">
        <v>138878</v>
      </c>
      <c r="D484" s="1">
        <v>138878</v>
      </c>
    </row>
    <row r="485" spans="1:4">
      <c r="A485" t="s">
        <v>573</v>
      </c>
      <c r="B485">
        <v>361</v>
      </c>
      <c r="C485" s="1">
        <v>138905</v>
      </c>
      <c r="D485" s="1">
        <v>827212</v>
      </c>
    </row>
    <row r="486" spans="1:4">
      <c r="A486" t="s">
        <v>574</v>
      </c>
      <c r="B486">
        <v>362</v>
      </c>
      <c r="C486" s="1">
        <v>254656</v>
      </c>
      <c r="D486" s="1">
        <v>254656</v>
      </c>
    </row>
    <row r="487" spans="1:4">
      <c r="A487" t="s">
        <v>575</v>
      </c>
      <c r="B487">
        <v>363</v>
      </c>
      <c r="C487" s="1">
        <v>138923</v>
      </c>
      <c r="D487" s="1">
        <v>138923</v>
      </c>
    </row>
    <row r="488" spans="1:4">
      <c r="A488" t="s">
        <v>576</v>
      </c>
      <c r="B488">
        <v>364</v>
      </c>
      <c r="C488" s="1">
        <v>156264</v>
      </c>
      <c r="D488" s="1">
        <v>156264</v>
      </c>
    </row>
    <row r="489" spans="1:4">
      <c r="A489" t="s">
        <v>577</v>
      </c>
      <c r="B489">
        <v>365</v>
      </c>
      <c r="C489" s="1">
        <v>140403</v>
      </c>
      <c r="D489" s="1">
        <v>140403</v>
      </c>
    </row>
    <row r="490" spans="1:4">
      <c r="A490" t="s">
        <v>578</v>
      </c>
      <c r="B490">
        <v>366</v>
      </c>
      <c r="C490" s="1">
        <v>423188</v>
      </c>
      <c r="D490" s="1">
        <v>523706</v>
      </c>
    </row>
    <row r="491" spans="1:4">
      <c r="A491" t="s">
        <v>579</v>
      </c>
      <c r="B491">
        <v>367</v>
      </c>
      <c r="C491" s="1" t="s">
        <v>25</v>
      </c>
      <c r="D491" s="1" t="s">
        <v>25</v>
      </c>
    </row>
    <row r="492" spans="1:4">
      <c r="A492" t="s">
        <v>580</v>
      </c>
      <c r="B492">
        <v>368</v>
      </c>
      <c r="C492" s="1">
        <v>141283</v>
      </c>
      <c r="D492" s="1">
        <v>141283</v>
      </c>
    </row>
    <row r="493" spans="1:4">
      <c r="A493" t="s">
        <v>581</v>
      </c>
      <c r="B493">
        <v>369</v>
      </c>
      <c r="C493" s="1">
        <v>1608761</v>
      </c>
      <c r="D493" s="1">
        <v>141365</v>
      </c>
    </row>
    <row r="494" spans="1:4">
      <c r="A494" t="s">
        <v>582</v>
      </c>
      <c r="B494">
        <v>37</v>
      </c>
      <c r="C494" s="1">
        <v>117402</v>
      </c>
      <c r="D494" s="1">
        <v>117402</v>
      </c>
    </row>
    <row r="495" spans="1:4">
      <c r="A495" t="s">
        <v>583</v>
      </c>
      <c r="B495">
        <v>370</v>
      </c>
      <c r="C495" s="1">
        <v>423707</v>
      </c>
      <c r="D495" s="1">
        <v>986822</v>
      </c>
    </row>
    <row r="496" spans="1:4">
      <c r="A496" t="s">
        <v>584</v>
      </c>
      <c r="B496">
        <v>371</v>
      </c>
      <c r="C496" s="1">
        <v>423708</v>
      </c>
      <c r="D496" s="1">
        <v>423708</v>
      </c>
    </row>
    <row r="497" spans="1:4">
      <c r="A497" t="s">
        <v>585</v>
      </c>
      <c r="B497">
        <v>372</v>
      </c>
      <c r="C497" s="1">
        <v>423354</v>
      </c>
      <c r="D497" s="1">
        <v>140167</v>
      </c>
    </row>
    <row r="498" spans="1:4">
      <c r="A498" t="s">
        <v>61</v>
      </c>
      <c r="B498">
        <v>373</v>
      </c>
      <c r="C498" s="1">
        <v>423355</v>
      </c>
      <c r="D498" s="1">
        <v>140170</v>
      </c>
    </row>
    <row r="499" spans="1:4">
      <c r="A499" t="s">
        <v>63</v>
      </c>
      <c r="B499">
        <v>374</v>
      </c>
      <c r="C499" s="1">
        <v>151572</v>
      </c>
      <c r="D499" s="1">
        <v>140168</v>
      </c>
    </row>
    <row r="500" spans="1:4">
      <c r="A500" t="s">
        <v>44</v>
      </c>
      <c r="B500">
        <v>375</v>
      </c>
      <c r="C500" s="1">
        <v>140126</v>
      </c>
      <c r="D500" s="1">
        <v>151628</v>
      </c>
    </row>
    <row r="501" spans="1:4">
      <c r="A501" t="s">
        <v>72</v>
      </c>
      <c r="B501">
        <v>376</v>
      </c>
      <c r="C501" s="1">
        <v>140127</v>
      </c>
      <c r="D501" s="1">
        <v>238104</v>
      </c>
    </row>
    <row r="502" spans="1:4">
      <c r="A502" t="s">
        <v>586</v>
      </c>
      <c r="B502">
        <v>377</v>
      </c>
      <c r="C502" s="1">
        <v>423467</v>
      </c>
      <c r="D502" s="1">
        <v>141148</v>
      </c>
    </row>
    <row r="503" spans="1:4">
      <c r="A503" t="s">
        <v>587</v>
      </c>
      <c r="B503">
        <v>378</v>
      </c>
      <c r="C503" s="1">
        <v>140261</v>
      </c>
      <c r="D503" s="1">
        <v>140261</v>
      </c>
    </row>
    <row r="504" spans="1:4">
      <c r="A504" t="s">
        <v>56</v>
      </c>
      <c r="B504">
        <v>379</v>
      </c>
      <c r="C504" s="1">
        <v>140262</v>
      </c>
      <c r="D504" s="1">
        <v>140262</v>
      </c>
    </row>
    <row r="505" spans="1:4">
      <c r="A505" t="s">
        <v>588</v>
      </c>
      <c r="B505">
        <v>38</v>
      </c>
      <c r="C505" s="1">
        <v>152121</v>
      </c>
      <c r="D505" s="1">
        <v>117413</v>
      </c>
    </row>
    <row r="506" spans="1:4">
      <c r="A506" t="s">
        <v>59</v>
      </c>
      <c r="B506">
        <v>380</v>
      </c>
      <c r="C506" s="1">
        <v>140263</v>
      </c>
      <c r="D506" s="1">
        <v>140263</v>
      </c>
    </row>
    <row r="507" spans="1:4">
      <c r="A507" t="s">
        <v>589</v>
      </c>
      <c r="B507">
        <v>381</v>
      </c>
      <c r="C507" s="1">
        <v>140264</v>
      </c>
      <c r="D507" s="1">
        <v>140264</v>
      </c>
    </row>
    <row r="508" spans="1:4">
      <c r="A508" t="s">
        <v>590</v>
      </c>
      <c r="B508">
        <v>382</v>
      </c>
      <c r="C508" s="1">
        <v>138135</v>
      </c>
      <c r="D508" s="1">
        <v>138135</v>
      </c>
    </row>
    <row r="509" spans="1:4">
      <c r="A509" t="s">
        <v>67</v>
      </c>
      <c r="B509">
        <v>383</v>
      </c>
      <c r="C509" s="1">
        <v>141308</v>
      </c>
      <c r="D509" s="1">
        <v>141308</v>
      </c>
    </row>
    <row r="510" spans="1:4">
      <c r="A510" t="s">
        <v>591</v>
      </c>
      <c r="B510">
        <v>384</v>
      </c>
      <c r="C510" s="1">
        <v>236803</v>
      </c>
      <c r="D510" s="1">
        <v>141200</v>
      </c>
    </row>
    <row r="511" spans="1:4">
      <c r="A511" t="s">
        <v>592</v>
      </c>
      <c r="B511">
        <v>385</v>
      </c>
      <c r="C511" s="1">
        <v>236805</v>
      </c>
      <c r="D511" s="1">
        <v>141253</v>
      </c>
    </row>
    <row r="512" spans="1:4">
      <c r="A512" t="s">
        <v>593</v>
      </c>
      <c r="B512">
        <v>386</v>
      </c>
      <c r="C512" s="1">
        <v>141388</v>
      </c>
      <c r="D512" s="1">
        <v>748158</v>
      </c>
    </row>
    <row r="513" spans="1:4">
      <c r="A513" t="s">
        <v>594</v>
      </c>
      <c r="B513">
        <v>387</v>
      </c>
      <c r="C513" s="1">
        <v>141539</v>
      </c>
      <c r="D513" s="1">
        <v>141539</v>
      </c>
    </row>
    <row r="514" spans="1:4">
      <c r="A514" t="s">
        <v>595</v>
      </c>
      <c r="B514">
        <v>388</v>
      </c>
      <c r="C514" s="1">
        <v>139474</v>
      </c>
      <c r="D514" s="1">
        <v>139474</v>
      </c>
    </row>
    <row r="515" spans="1:4">
      <c r="A515" t="s">
        <v>596</v>
      </c>
      <c r="B515">
        <v>389</v>
      </c>
      <c r="C515" s="1">
        <v>139478</v>
      </c>
      <c r="D515" s="1">
        <v>884604</v>
      </c>
    </row>
    <row r="516" spans="1:4">
      <c r="A516" t="s">
        <v>597</v>
      </c>
      <c r="B516">
        <v>39</v>
      </c>
      <c r="C516" s="1">
        <v>150646</v>
      </c>
      <c r="D516" s="1">
        <v>150646</v>
      </c>
    </row>
    <row r="517" spans="1:4">
      <c r="A517" t="s">
        <v>598</v>
      </c>
      <c r="B517">
        <v>390</v>
      </c>
      <c r="C517" s="1">
        <v>139490</v>
      </c>
      <c r="D517" s="1">
        <v>139490</v>
      </c>
    </row>
    <row r="518" spans="1:4">
      <c r="A518" t="s">
        <v>599</v>
      </c>
      <c r="B518">
        <v>391</v>
      </c>
      <c r="C518" s="1">
        <v>509632</v>
      </c>
      <c r="D518" s="1">
        <v>139557</v>
      </c>
    </row>
    <row r="519" spans="1:4">
      <c r="A519" t="s">
        <v>600</v>
      </c>
      <c r="B519">
        <v>392</v>
      </c>
      <c r="C519" s="1">
        <v>139557</v>
      </c>
      <c r="D519" s="1">
        <v>139557</v>
      </c>
    </row>
    <row r="520" spans="1:4">
      <c r="A520" t="s">
        <v>601</v>
      </c>
      <c r="B520">
        <v>393</v>
      </c>
      <c r="C520" s="1">
        <v>139558</v>
      </c>
      <c r="D520" s="1">
        <v>139547</v>
      </c>
    </row>
    <row r="521" spans="1:4">
      <c r="A521" t="s">
        <v>602</v>
      </c>
      <c r="B521">
        <v>394</v>
      </c>
      <c r="C521" s="1">
        <v>140616</v>
      </c>
      <c r="D521" s="1">
        <v>140616</v>
      </c>
    </row>
    <row r="522" spans="1:4">
      <c r="A522" t="s">
        <v>603</v>
      </c>
      <c r="B522">
        <v>395</v>
      </c>
      <c r="C522" s="1">
        <v>140754</v>
      </c>
      <c r="D522" s="1">
        <v>423717</v>
      </c>
    </row>
    <row r="523" spans="1:4">
      <c r="A523" t="s">
        <v>604</v>
      </c>
      <c r="B523">
        <v>396</v>
      </c>
      <c r="C523" s="1">
        <v>161</v>
      </c>
      <c r="D523" s="1">
        <v>161</v>
      </c>
    </row>
    <row r="524" spans="1:4">
      <c r="A524" t="s">
        <v>605</v>
      </c>
      <c r="B524">
        <v>397</v>
      </c>
      <c r="C524" s="1">
        <v>236793</v>
      </c>
      <c r="D524" s="1">
        <v>236793</v>
      </c>
    </row>
    <row r="525" spans="1:4">
      <c r="A525" t="s">
        <v>606</v>
      </c>
      <c r="B525">
        <v>398</v>
      </c>
      <c r="C525" s="1">
        <v>140275</v>
      </c>
      <c r="D525" s="1">
        <v>140275</v>
      </c>
    </row>
    <row r="526" spans="1:4">
      <c r="A526" t="s">
        <v>607</v>
      </c>
      <c r="B526">
        <v>399</v>
      </c>
      <c r="C526" s="1">
        <v>153552</v>
      </c>
      <c r="D526" s="1">
        <v>153552</v>
      </c>
    </row>
    <row r="527" spans="1:4">
      <c r="A527" t="s">
        <v>608</v>
      </c>
      <c r="B527">
        <v>4</v>
      </c>
      <c r="C527" s="1">
        <v>117883</v>
      </c>
      <c r="D527" s="1">
        <v>117883</v>
      </c>
    </row>
    <row r="528" spans="1:4">
      <c r="A528" t="s">
        <v>609</v>
      </c>
      <c r="B528">
        <v>40</v>
      </c>
      <c r="C528" s="1">
        <v>117407</v>
      </c>
      <c r="D528" s="1">
        <v>594013</v>
      </c>
    </row>
    <row r="529" spans="1:4">
      <c r="A529" t="s">
        <v>610</v>
      </c>
      <c r="B529">
        <v>400</v>
      </c>
      <c r="C529" s="1">
        <v>798802</v>
      </c>
      <c r="D529" s="1">
        <v>234208</v>
      </c>
    </row>
    <row r="530" spans="1:4">
      <c r="A530" t="s">
        <v>611</v>
      </c>
      <c r="B530">
        <v>401</v>
      </c>
      <c r="C530" s="1">
        <v>140187</v>
      </c>
      <c r="D530" s="1">
        <v>140187</v>
      </c>
    </row>
    <row r="531" spans="1:4">
      <c r="A531" t="s">
        <v>612</v>
      </c>
      <c r="B531">
        <v>402</v>
      </c>
      <c r="C531" s="1">
        <v>236797</v>
      </c>
      <c r="D531" s="1">
        <v>141532</v>
      </c>
    </row>
    <row r="532" spans="1:4">
      <c r="A532" t="s">
        <v>613</v>
      </c>
      <c r="B532">
        <v>403</v>
      </c>
      <c r="C532" s="1">
        <v>141819</v>
      </c>
      <c r="D532" s="1">
        <v>141819</v>
      </c>
    </row>
    <row r="533" spans="1:4">
      <c r="A533" t="s">
        <v>614</v>
      </c>
      <c r="B533">
        <v>404</v>
      </c>
      <c r="C533" s="1">
        <v>141820</v>
      </c>
      <c r="D533" s="1">
        <v>141820</v>
      </c>
    </row>
    <row r="534" spans="1:4">
      <c r="A534" t="s">
        <v>615</v>
      </c>
      <c r="B534">
        <v>405</v>
      </c>
      <c r="C534" s="1">
        <v>141821</v>
      </c>
      <c r="D534" s="1">
        <v>141821</v>
      </c>
    </row>
    <row r="535" spans="1:4">
      <c r="A535" t="s">
        <v>616</v>
      </c>
      <c r="B535">
        <v>406</v>
      </c>
      <c r="C535" s="1">
        <v>141822</v>
      </c>
      <c r="D535" s="1">
        <v>141822</v>
      </c>
    </row>
    <row r="536" spans="1:4">
      <c r="A536" t="s">
        <v>617</v>
      </c>
      <c r="B536">
        <v>407</v>
      </c>
      <c r="C536" s="1">
        <v>138592</v>
      </c>
      <c r="D536" s="1">
        <v>138592</v>
      </c>
    </row>
    <row r="537" spans="1:4">
      <c r="A537" t="s">
        <v>618</v>
      </c>
      <c r="B537">
        <v>408</v>
      </c>
      <c r="C537" s="1">
        <v>141823</v>
      </c>
      <c r="D537" s="1">
        <v>141823</v>
      </c>
    </row>
    <row r="538" spans="1:4">
      <c r="A538" t="s">
        <v>619</v>
      </c>
      <c r="B538">
        <v>409</v>
      </c>
      <c r="C538" s="1">
        <v>141840</v>
      </c>
      <c r="D538" s="1">
        <v>141840</v>
      </c>
    </row>
    <row r="539" spans="1:4">
      <c r="A539" t="s">
        <v>620</v>
      </c>
      <c r="B539">
        <v>41</v>
      </c>
      <c r="C539" s="1">
        <v>117411</v>
      </c>
      <c r="D539" s="1">
        <v>117411</v>
      </c>
    </row>
    <row r="540" spans="1:4">
      <c r="A540" t="s">
        <v>621</v>
      </c>
      <c r="B540">
        <v>410</v>
      </c>
      <c r="C540" s="1">
        <v>141846</v>
      </c>
      <c r="D540" s="1">
        <v>141846</v>
      </c>
    </row>
    <row r="541" spans="1:4">
      <c r="A541" t="s">
        <v>622</v>
      </c>
      <c r="B541">
        <v>411</v>
      </c>
      <c r="C541" s="1">
        <v>141859</v>
      </c>
      <c r="D541" s="1">
        <v>141859</v>
      </c>
    </row>
    <row r="542" spans="1:4">
      <c r="A542" t="s">
        <v>623</v>
      </c>
      <c r="B542">
        <v>412</v>
      </c>
      <c r="C542" s="1">
        <v>101</v>
      </c>
      <c r="D542" s="1">
        <v>101</v>
      </c>
    </row>
    <row r="543" spans="1:4">
      <c r="A543" t="s">
        <v>624</v>
      </c>
      <c r="B543">
        <v>413</v>
      </c>
      <c r="C543" s="1">
        <v>607412</v>
      </c>
      <c r="D543" s="1">
        <v>140275</v>
      </c>
    </row>
    <row r="544" spans="1:4">
      <c r="A544" t="s">
        <v>625</v>
      </c>
      <c r="B544">
        <v>414</v>
      </c>
      <c r="C544" s="1">
        <v>156126</v>
      </c>
      <c r="D544" s="1">
        <v>183194</v>
      </c>
    </row>
    <row r="545" spans="1:4">
      <c r="A545" t="s">
        <v>626</v>
      </c>
      <c r="B545">
        <v>415</v>
      </c>
      <c r="C545" s="1">
        <v>423478</v>
      </c>
      <c r="D545" s="1">
        <v>139090</v>
      </c>
    </row>
    <row r="546" spans="1:4">
      <c r="A546" t="s">
        <v>627</v>
      </c>
      <c r="B546">
        <v>416</v>
      </c>
      <c r="C546" s="1">
        <v>140231</v>
      </c>
      <c r="D546" s="1">
        <v>140231</v>
      </c>
    </row>
    <row r="547" spans="1:4">
      <c r="A547" t="s">
        <v>628</v>
      </c>
      <c r="B547">
        <v>417</v>
      </c>
      <c r="C547" s="1">
        <v>510039</v>
      </c>
      <c r="D547" s="1">
        <v>139560</v>
      </c>
    </row>
    <row r="548" spans="1:4">
      <c r="A548" t="s">
        <v>629</v>
      </c>
      <c r="B548">
        <v>418</v>
      </c>
      <c r="C548" s="1">
        <v>1762</v>
      </c>
      <c r="D548" s="1">
        <v>1762</v>
      </c>
    </row>
    <row r="549" spans="1:4">
      <c r="A549" t="s">
        <v>630</v>
      </c>
      <c r="B549">
        <v>419</v>
      </c>
      <c r="C549" s="1">
        <v>382226</v>
      </c>
      <c r="D549" s="1">
        <v>382226</v>
      </c>
    </row>
    <row r="550" spans="1:4">
      <c r="A550" t="s">
        <v>631</v>
      </c>
      <c r="B550">
        <v>42</v>
      </c>
      <c r="C550" s="1">
        <v>292292</v>
      </c>
      <c r="D550" s="1">
        <v>150648</v>
      </c>
    </row>
    <row r="551" spans="1:4">
      <c r="A551" t="s">
        <v>632</v>
      </c>
      <c r="B551">
        <v>420</v>
      </c>
      <c r="C551" s="1">
        <v>139975</v>
      </c>
      <c r="D551" s="1">
        <v>139975</v>
      </c>
    </row>
    <row r="552" spans="1:4">
      <c r="A552" t="s">
        <v>633</v>
      </c>
      <c r="B552">
        <v>421</v>
      </c>
      <c r="C552" s="1">
        <v>160077</v>
      </c>
      <c r="D552" s="1">
        <v>140348</v>
      </c>
    </row>
    <row r="553" spans="1:4">
      <c r="A553" t="s">
        <v>634</v>
      </c>
      <c r="B553">
        <v>422</v>
      </c>
      <c r="C553" s="1">
        <v>138802</v>
      </c>
      <c r="D553" s="1">
        <v>138802</v>
      </c>
    </row>
    <row r="554" spans="1:4">
      <c r="A554" t="s">
        <v>635</v>
      </c>
      <c r="B554">
        <v>423</v>
      </c>
      <c r="C554" s="1">
        <v>156819</v>
      </c>
      <c r="D554" s="1">
        <v>381904</v>
      </c>
    </row>
    <row r="555" spans="1:4">
      <c r="A555" t="s">
        <v>636</v>
      </c>
      <c r="B555">
        <v>424</v>
      </c>
      <c r="C555" s="1">
        <v>582749</v>
      </c>
      <c r="D555" s="1">
        <v>582749</v>
      </c>
    </row>
    <row r="556" spans="1:4">
      <c r="A556" t="s">
        <v>175</v>
      </c>
      <c r="B556">
        <v>425</v>
      </c>
      <c r="C556" s="1">
        <v>228</v>
      </c>
      <c r="D556" s="1">
        <v>228</v>
      </c>
    </row>
    <row r="557" spans="1:4">
      <c r="A557" t="s">
        <v>637</v>
      </c>
      <c r="B557">
        <v>426</v>
      </c>
      <c r="C557" s="1">
        <v>423347</v>
      </c>
      <c r="D557" s="1">
        <v>152282</v>
      </c>
    </row>
    <row r="558" spans="1:4">
      <c r="A558" t="s">
        <v>638</v>
      </c>
      <c r="B558">
        <v>427</v>
      </c>
      <c r="C558" s="1">
        <v>423557</v>
      </c>
      <c r="D558" s="1">
        <v>146518</v>
      </c>
    </row>
    <row r="559" spans="1:4">
      <c r="A559" t="s">
        <v>639</v>
      </c>
      <c r="B559">
        <v>428</v>
      </c>
      <c r="C559" s="1">
        <v>152398</v>
      </c>
      <c r="D559" s="1">
        <v>152398</v>
      </c>
    </row>
    <row r="560" spans="1:4">
      <c r="A560" t="s">
        <v>640</v>
      </c>
      <c r="B560">
        <v>429</v>
      </c>
      <c r="C560" s="1">
        <v>141652</v>
      </c>
      <c r="D560" s="1">
        <v>141652</v>
      </c>
    </row>
    <row r="561" spans="1:4">
      <c r="A561" t="s">
        <v>641</v>
      </c>
      <c r="B561">
        <v>43</v>
      </c>
      <c r="C561" s="1">
        <v>117975</v>
      </c>
      <c r="D561" s="1">
        <v>117727</v>
      </c>
    </row>
    <row r="562" spans="1:4">
      <c r="A562" t="s">
        <v>642</v>
      </c>
      <c r="B562">
        <v>430</v>
      </c>
      <c r="C562" s="1">
        <v>141659</v>
      </c>
      <c r="D562" s="1">
        <v>954693</v>
      </c>
    </row>
    <row r="563" spans="1:4">
      <c r="A563" t="s">
        <v>643</v>
      </c>
      <c r="B563">
        <v>431</v>
      </c>
      <c r="C563" s="1">
        <v>141663</v>
      </c>
      <c r="D563" s="1">
        <v>141663</v>
      </c>
    </row>
    <row r="564" spans="1:4">
      <c r="A564" t="s">
        <v>644</v>
      </c>
      <c r="B564">
        <v>432</v>
      </c>
      <c r="C564" s="1">
        <v>140103</v>
      </c>
      <c r="D564" s="1">
        <v>140103</v>
      </c>
    </row>
    <row r="565" spans="1:4">
      <c r="A565" t="s">
        <v>645</v>
      </c>
      <c r="B565">
        <v>433</v>
      </c>
      <c r="C565" s="1">
        <v>588297</v>
      </c>
      <c r="D565" s="1">
        <v>140103</v>
      </c>
    </row>
    <row r="566" spans="1:4">
      <c r="A566" t="s">
        <v>646</v>
      </c>
      <c r="B566">
        <v>434</v>
      </c>
      <c r="C566" s="1">
        <v>152416</v>
      </c>
      <c r="D566" s="1">
        <v>140105</v>
      </c>
    </row>
    <row r="567" spans="1:4">
      <c r="A567" t="s">
        <v>26</v>
      </c>
      <c r="B567">
        <v>435</v>
      </c>
      <c r="C567" s="1">
        <v>141579</v>
      </c>
      <c r="D567" s="1">
        <v>141579</v>
      </c>
    </row>
    <row r="568" spans="1:4">
      <c r="A568" t="s">
        <v>647</v>
      </c>
      <c r="B568">
        <v>436</v>
      </c>
      <c r="C568" s="1">
        <v>141580</v>
      </c>
      <c r="D568" s="1">
        <v>141580</v>
      </c>
    </row>
    <row r="569" spans="1:4">
      <c r="A569" t="s">
        <v>648</v>
      </c>
      <c r="B569">
        <v>437</v>
      </c>
      <c r="C569" s="1">
        <v>138531</v>
      </c>
      <c r="D569" s="1">
        <v>138531</v>
      </c>
    </row>
    <row r="570" spans="1:4">
      <c r="A570" t="s">
        <v>649</v>
      </c>
      <c r="B570">
        <v>438</v>
      </c>
      <c r="C570" s="1">
        <v>156227</v>
      </c>
      <c r="D570" s="1">
        <v>156227</v>
      </c>
    </row>
    <row r="571" spans="1:4">
      <c r="A571" t="s">
        <v>650</v>
      </c>
      <c r="B571">
        <v>439</v>
      </c>
      <c r="C571" s="1">
        <v>140373</v>
      </c>
      <c r="D571" s="1">
        <v>423186</v>
      </c>
    </row>
    <row r="572" spans="1:4">
      <c r="A572" t="s">
        <v>651</v>
      </c>
      <c r="B572">
        <v>44</v>
      </c>
      <c r="C572" s="1">
        <v>834565</v>
      </c>
      <c r="D572" s="1">
        <v>834565</v>
      </c>
    </row>
    <row r="573" spans="1:4">
      <c r="A573" t="s">
        <v>58</v>
      </c>
      <c r="B573">
        <v>440</v>
      </c>
      <c r="C573" s="1">
        <v>140430</v>
      </c>
      <c r="D573" s="1">
        <v>140430</v>
      </c>
    </row>
    <row r="574" spans="1:4">
      <c r="A574" t="s">
        <v>652</v>
      </c>
      <c r="B574">
        <v>441</v>
      </c>
      <c r="C574" s="1">
        <v>138211</v>
      </c>
      <c r="D574" s="1">
        <v>138211</v>
      </c>
    </row>
    <row r="575" spans="1:4">
      <c r="A575" t="s">
        <v>653</v>
      </c>
      <c r="B575">
        <v>442</v>
      </c>
      <c r="C575" s="1">
        <v>140431</v>
      </c>
      <c r="D575" s="1">
        <v>140431</v>
      </c>
    </row>
    <row r="576" spans="1:4">
      <c r="A576" t="s">
        <v>654</v>
      </c>
      <c r="B576">
        <v>443</v>
      </c>
      <c r="C576" s="1">
        <v>141875</v>
      </c>
      <c r="D576" s="1">
        <v>141875</v>
      </c>
    </row>
    <row r="577" spans="1:4">
      <c r="A577" t="s">
        <v>655</v>
      </c>
      <c r="B577">
        <v>444</v>
      </c>
      <c r="C577" s="1">
        <v>140771</v>
      </c>
      <c r="D577" s="1">
        <v>140771</v>
      </c>
    </row>
    <row r="578" spans="1:4">
      <c r="A578" t="s">
        <v>656</v>
      </c>
      <c r="B578">
        <v>445</v>
      </c>
      <c r="C578" s="1">
        <v>105</v>
      </c>
      <c r="D578" s="1">
        <v>105</v>
      </c>
    </row>
    <row r="579" spans="1:4">
      <c r="A579" t="s">
        <v>657</v>
      </c>
      <c r="B579">
        <v>446</v>
      </c>
      <c r="C579" s="1">
        <v>140692</v>
      </c>
      <c r="D579" s="1">
        <v>140692</v>
      </c>
    </row>
    <row r="580" spans="1:4">
      <c r="A580" t="s">
        <v>658</v>
      </c>
      <c r="B580">
        <v>447</v>
      </c>
      <c r="C580" s="1">
        <v>423438</v>
      </c>
      <c r="D580" s="1">
        <v>138749</v>
      </c>
    </row>
    <row r="581" spans="1:4">
      <c r="A581" t="s">
        <v>659</v>
      </c>
      <c r="B581">
        <v>448</v>
      </c>
      <c r="C581" s="1">
        <v>138749</v>
      </c>
      <c r="D581" s="1">
        <v>138749</v>
      </c>
    </row>
    <row r="582" spans="1:4">
      <c r="A582" t="s">
        <v>660</v>
      </c>
      <c r="B582">
        <v>449</v>
      </c>
      <c r="C582" s="1">
        <v>140440</v>
      </c>
      <c r="D582" s="1">
        <v>140440</v>
      </c>
    </row>
    <row r="583" spans="1:4">
      <c r="A583" t="s">
        <v>661</v>
      </c>
      <c r="B583">
        <v>45</v>
      </c>
      <c r="C583" s="1">
        <v>157919</v>
      </c>
      <c r="D583" s="1">
        <v>157919</v>
      </c>
    </row>
    <row r="584" spans="1:4">
      <c r="A584" t="s">
        <v>662</v>
      </c>
      <c r="B584">
        <v>450</v>
      </c>
      <c r="C584" s="1">
        <v>140449</v>
      </c>
      <c r="D584" s="1">
        <v>140449</v>
      </c>
    </row>
    <row r="585" spans="1:4">
      <c r="A585" t="s">
        <v>663</v>
      </c>
      <c r="B585">
        <v>451</v>
      </c>
      <c r="C585" s="1">
        <v>140467</v>
      </c>
      <c r="D585" s="1">
        <v>140467</v>
      </c>
    </row>
    <row r="586" spans="1:4">
      <c r="A586" t="s">
        <v>664</v>
      </c>
      <c r="B586">
        <v>452</v>
      </c>
      <c r="C586" s="1">
        <v>156246</v>
      </c>
      <c r="D586" s="1">
        <v>467467</v>
      </c>
    </row>
    <row r="587" spans="1:4">
      <c r="A587" t="s">
        <v>665</v>
      </c>
      <c r="B587">
        <v>453</v>
      </c>
      <c r="C587" s="1">
        <v>140472</v>
      </c>
      <c r="D587" s="1">
        <v>140472</v>
      </c>
    </row>
    <row r="588" spans="1:4">
      <c r="A588" t="s">
        <v>666</v>
      </c>
      <c r="B588">
        <v>454</v>
      </c>
      <c r="C588" s="1">
        <v>140473</v>
      </c>
      <c r="D588" s="1">
        <v>140472</v>
      </c>
    </row>
    <row r="589" spans="1:4">
      <c r="A589" t="s">
        <v>667</v>
      </c>
      <c r="B589">
        <v>455</v>
      </c>
      <c r="C589" s="1">
        <v>140474</v>
      </c>
      <c r="D589" s="1">
        <v>140474</v>
      </c>
    </row>
    <row r="590" spans="1:4">
      <c r="A590" t="s">
        <v>668</v>
      </c>
      <c r="B590">
        <v>456</v>
      </c>
      <c r="C590" s="1">
        <v>138225</v>
      </c>
      <c r="D590" s="1">
        <v>138225</v>
      </c>
    </row>
    <row r="591" spans="1:4">
      <c r="A591" t="s">
        <v>43</v>
      </c>
      <c r="B591">
        <v>457</v>
      </c>
      <c r="C591" s="1">
        <v>140480</v>
      </c>
      <c r="D591" s="1">
        <v>140480</v>
      </c>
    </row>
    <row r="592" spans="1:4">
      <c r="A592" t="s">
        <v>669</v>
      </c>
      <c r="B592">
        <v>458</v>
      </c>
      <c r="C592" s="1">
        <v>236788</v>
      </c>
      <c r="D592" s="1">
        <v>140584</v>
      </c>
    </row>
    <row r="593" spans="1:4">
      <c r="A593" t="s">
        <v>670</v>
      </c>
      <c r="B593">
        <v>459</v>
      </c>
      <c r="C593" s="1">
        <v>140577</v>
      </c>
      <c r="D593" s="1">
        <v>140577</v>
      </c>
    </row>
    <row r="594" spans="1:4">
      <c r="A594" t="s">
        <v>671</v>
      </c>
      <c r="B594">
        <v>46</v>
      </c>
      <c r="C594" s="1">
        <v>152102</v>
      </c>
      <c r="D594" s="1">
        <v>117393</v>
      </c>
    </row>
    <row r="595" spans="1:4">
      <c r="A595" t="s">
        <v>672</v>
      </c>
      <c r="B595">
        <v>460</v>
      </c>
      <c r="C595" s="1">
        <v>140579</v>
      </c>
      <c r="D595" s="1">
        <v>140579</v>
      </c>
    </row>
    <row r="596" spans="1:4">
      <c r="A596" t="s">
        <v>673</v>
      </c>
      <c r="B596">
        <v>461</v>
      </c>
      <c r="C596" s="1">
        <v>138259</v>
      </c>
      <c r="D596" s="1">
        <v>138259</v>
      </c>
    </row>
    <row r="597" spans="1:4">
      <c r="A597" t="s">
        <v>674</v>
      </c>
      <c r="B597">
        <v>462</v>
      </c>
      <c r="C597" s="1">
        <v>141987</v>
      </c>
      <c r="D597" s="1">
        <v>141987</v>
      </c>
    </row>
    <row r="598" spans="1:4">
      <c r="A598" t="s">
        <v>675</v>
      </c>
      <c r="B598">
        <v>463</v>
      </c>
      <c r="C598" s="1">
        <v>236785</v>
      </c>
      <c r="D598" s="1">
        <v>236785</v>
      </c>
    </row>
    <row r="599" spans="1:4">
      <c r="A599" t="s">
        <v>676</v>
      </c>
      <c r="B599">
        <v>464</v>
      </c>
      <c r="C599" s="1">
        <v>141989</v>
      </c>
      <c r="D599" s="1">
        <v>141989</v>
      </c>
    </row>
    <row r="600" spans="1:4">
      <c r="A600" t="s">
        <v>677</v>
      </c>
      <c r="B600">
        <v>465</v>
      </c>
      <c r="C600" s="1">
        <v>142004</v>
      </c>
      <c r="D600" s="1">
        <v>142004</v>
      </c>
    </row>
    <row r="601" spans="1:4">
      <c r="A601" t="s">
        <v>678</v>
      </c>
      <c r="B601">
        <v>466</v>
      </c>
      <c r="C601" s="1">
        <v>141999</v>
      </c>
      <c r="D601" s="1">
        <v>141999</v>
      </c>
    </row>
    <row r="602" spans="1:4">
      <c r="A602" t="s">
        <v>679</v>
      </c>
      <c r="B602">
        <v>467</v>
      </c>
      <c r="C602" s="1">
        <v>140290</v>
      </c>
      <c r="D602" s="1">
        <v>140290</v>
      </c>
    </row>
    <row r="603" spans="1:4">
      <c r="A603" t="s">
        <v>680</v>
      </c>
      <c r="B603">
        <v>468</v>
      </c>
      <c r="C603" s="1">
        <v>141947</v>
      </c>
      <c r="D603" s="1">
        <v>141947</v>
      </c>
    </row>
    <row r="604" spans="1:4">
      <c r="A604" t="s">
        <v>681</v>
      </c>
      <c r="B604">
        <v>469</v>
      </c>
      <c r="C604" s="1">
        <v>140673</v>
      </c>
      <c r="D604" s="1">
        <v>140673</v>
      </c>
    </row>
    <row r="605" spans="1:4">
      <c r="A605" t="s">
        <v>682</v>
      </c>
      <c r="B605">
        <v>47</v>
      </c>
      <c r="C605" s="1">
        <v>117029</v>
      </c>
      <c r="D605" s="1">
        <v>117029</v>
      </c>
    </row>
    <row r="606" spans="1:4">
      <c r="A606" t="s">
        <v>683</v>
      </c>
      <c r="B606">
        <v>470</v>
      </c>
      <c r="C606" s="1">
        <v>141648</v>
      </c>
      <c r="D606" s="1">
        <v>141648</v>
      </c>
    </row>
    <row r="607" spans="1:4">
      <c r="A607" t="s">
        <v>684</v>
      </c>
      <c r="B607">
        <v>471</v>
      </c>
      <c r="C607" s="1">
        <v>2088</v>
      </c>
      <c r="D607" s="1">
        <v>2088</v>
      </c>
    </row>
    <row r="608" spans="1:4">
      <c r="A608" t="s">
        <v>685</v>
      </c>
      <c r="B608">
        <v>472</v>
      </c>
      <c r="C608" s="1">
        <v>545011</v>
      </c>
      <c r="D608" s="1">
        <v>139110</v>
      </c>
    </row>
    <row r="609" spans="1:4">
      <c r="A609" t="s">
        <v>686</v>
      </c>
      <c r="B609">
        <v>473</v>
      </c>
      <c r="C609" s="1" t="s">
        <v>25</v>
      </c>
      <c r="D609" s="1" t="s">
        <v>25</v>
      </c>
    </row>
    <row r="610" spans="1:4">
      <c r="A610" t="s">
        <v>687</v>
      </c>
      <c r="B610">
        <v>474</v>
      </c>
      <c r="C610" s="1">
        <v>545028</v>
      </c>
      <c r="D610" s="1">
        <v>139103</v>
      </c>
    </row>
    <row r="611" spans="1:4">
      <c r="A611" t="s">
        <v>688</v>
      </c>
      <c r="B611">
        <v>475</v>
      </c>
      <c r="C611" s="1">
        <v>545030</v>
      </c>
      <c r="D611" s="1">
        <v>139104</v>
      </c>
    </row>
    <row r="612" spans="1:4">
      <c r="A612" t="s">
        <v>689</v>
      </c>
      <c r="B612">
        <v>476</v>
      </c>
      <c r="C612" s="1">
        <v>545002</v>
      </c>
      <c r="D612" s="1">
        <v>139106</v>
      </c>
    </row>
    <row r="613" spans="1:4">
      <c r="A613" t="s">
        <v>690</v>
      </c>
      <c r="B613">
        <v>477</v>
      </c>
      <c r="C613" s="1">
        <v>748095</v>
      </c>
      <c r="D613" s="1">
        <v>139107</v>
      </c>
    </row>
    <row r="614" spans="1:4">
      <c r="A614" t="s">
        <v>691</v>
      </c>
      <c r="B614">
        <v>478</v>
      </c>
      <c r="C614" s="1">
        <v>247773</v>
      </c>
      <c r="D614" s="1">
        <v>247773</v>
      </c>
    </row>
    <row r="615" spans="1:4">
      <c r="A615" t="s">
        <v>692</v>
      </c>
      <c r="B615">
        <v>479</v>
      </c>
      <c r="C615" s="1">
        <v>140151</v>
      </c>
      <c r="D615" s="1">
        <v>140151</v>
      </c>
    </row>
    <row r="616" spans="1:4">
      <c r="A616" t="s">
        <v>693</v>
      </c>
      <c r="B616">
        <v>48</v>
      </c>
      <c r="C616" s="1">
        <v>117365</v>
      </c>
      <c r="D616" s="1">
        <v>117365</v>
      </c>
    </row>
    <row r="617" spans="1:4">
      <c r="A617" t="s">
        <v>694</v>
      </c>
      <c r="B617">
        <v>480</v>
      </c>
      <c r="C617" s="1">
        <v>140152</v>
      </c>
      <c r="D617" s="1">
        <v>386411</v>
      </c>
    </row>
    <row r="618" spans="1:4">
      <c r="A618" t="s">
        <v>695</v>
      </c>
      <c r="B618">
        <v>481</v>
      </c>
      <c r="C618" s="1">
        <v>111600</v>
      </c>
      <c r="D618" s="1">
        <v>111600</v>
      </c>
    </row>
    <row r="619" spans="1:4">
      <c r="A619" t="s">
        <v>696</v>
      </c>
      <c r="B619">
        <v>482</v>
      </c>
      <c r="C619" s="1">
        <v>111601</v>
      </c>
      <c r="D619" s="1">
        <v>111601</v>
      </c>
    </row>
    <row r="620" spans="1:4">
      <c r="A620" t="s">
        <v>697</v>
      </c>
      <c r="B620">
        <v>483</v>
      </c>
      <c r="C620" s="1">
        <v>111602</v>
      </c>
      <c r="D620" s="1">
        <v>111602</v>
      </c>
    </row>
    <row r="621" spans="1:4">
      <c r="A621" t="s">
        <v>698</v>
      </c>
      <c r="B621">
        <v>484</v>
      </c>
      <c r="C621" s="1">
        <v>111603</v>
      </c>
      <c r="D621" s="1">
        <v>468026</v>
      </c>
    </row>
    <row r="622" spans="1:4">
      <c r="A622" t="s">
        <v>699</v>
      </c>
      <c r="B622">
        <v>485</v>
      </c>
      <c r="C622" s="1">
        <v>110993</v>
      </c>
      <c r="D622" s="1">
        <v>110993</v>
      </c>
    </row>
    <row r="623" spans="1:4">
      <c r="A623" t="s">
        <v>700</v>
      </c>
      <c r="B623">
        <v>486</v>
      </c>
      <c r="C623" s="1">
        <v>146734</v>
      </c>
      <c r="D623" s="1">
        <v>851583</v>
      </c>
    </row>
    <row r="624" spans="1:4">
      <c r="A624" t="s">
        <v>701</v>
      </c>
      <c r="B624">
        <v>487</v>
      </c>
      <c r="C624" s="1">
        <v>111667</v>
      </c>
      <c r="D624" s="1">
        <v>851593</v>
      </c>
    </row>
    <row r="625" spans="1:4">
      <c r="A625" t="s">
        <v>702</v>
      </c>
      <c r="B625">
        <v>488</v>
      </c>
      <c r="C625" s="1">
        <v>111614</v>
      </c>
      <c r="D625" s="1">
        <v>111614</v>
      </c>
    </row>
    <row r="626" spans="1:4">
      <c r="A626" t="s">
        <v>703</v>
      </c>
      <c r="B626">
        <v>489</v>
      </c>
      <c r="C626" s="1">
        <v>254638</v>
      </c>
      <c r="D626" s="1">
        <v>111620</v>
      </c>
    </row>
    <row r="627" spans="1:4">
      <c r="A627" t="s">
        <v>704</v>
      </c>
      <c r="B627">
        <v>49</v>
      </c>
      <c r="C627" s="1">
        <v>1606</v>
      </c>
      <c r="D627" s="1">
        <v>1606</v>
      </c>
    </row>
    <row r="628" spans="1:4">
      <c r="A628" t="s">
        <v>705</v>
      </c>
      <c r="B628">
        <v>490</v>
      </c>
      <c r="C628" s="1">
        <v>153721</v>
      </c>
      <c r="D628" s="1">
        <v>111621</v>
      </c>
    </row>
    <row r="629" spans="1:4">
      <c r="A629" t="s">
        <v>706</v>
      </c>
      <c r="B629">
        <v>491</v>
      </c>
      <c r="C629" s="1">
        <v>153723</v>
      </c>
      <c r="D629" s="1">
        <v>111676</v>
      </c>
    </row>
    <row r="630" spans="1:4">
      <c r="A630" t="s">
        <v>707</v>
      </c>
      <c r="B630">
        <v>492</v>
      </c>
      <c r="C630" s="1">
        <v>111189</v>
      </c>
      <c r="D630" s="1">
        <v>469358</v>
      </c>
    </row>
    <row r="631" spans="1:4">
      <c r="A631" t="s">
        <v>708</v>
      </c>
      <c r="B631">
        <v>493</v>
      </c>
      <c r="C631" s="1">
        <v>146748</v>
      </c>
      <c r="D631" s="1">
        <v>111186</v>
      </c>
    </row>
    <row r="632" spans="1:4">
      <c r="A632" t="s">
        <v>709</v>
      </c>
      <c r="B632">
        <v>494</v>
      </c>
      <c r="C632" s="1">
        <v>111193</v>
      </c>
      <c r="D632" s="1">
        <v>111193</v>
      </c>
    </row>
    <row r="633" spans="1:4">
      <c r="A633" t="s">
        <v>710</v>
      </c>
      <c r="B633">
        <v>495</v>
      </c>
      <c r="C633" s="1">
        <v>146750</v>
      </c>
      <c r="D633" s="1">
        <v>146750</v>
      </c>
    </row>
    <row r="634" spans="1:4">
      <c r="A634" t="s">
        <v>711</v>
      </c>
      <c r="B634">
        <v>496</v>
      </c>
      <c r="C634" s="1">
        <v>111197</v>
      </c>
      <c r="D634" s="1">
        <v>111197</v>
      </c>
    </row>
    <row r="635" spans="1:4">
      <c r="A635" t="s">
        <v>712</v>
      </c>
      <c r="B635">
        <v>497</v>
      </c>
      <c r="C635" s="1">
        <v>146751</v>
      </c>
      <c r="D635" s="1">
        <v>469316</v>
      </c>
    </row>
    <row r="636" spans="1:4">
      <c r="A636" t="s">
        <v>713</v>
      </c>
      <c r="B636">
        <v>498</v>
      </c>
      <c r="C636" s="1">
        <v>111200</v>
      </c>
      <c r="D636" s="1">
        <v>240931</v>
      </c>
    </row>
    <row r="637" spans="1:4">
      <c r="A637" t="s">
        <v>714</v>
      </c>
      <c r="B637">
        <v>499</v>
      </c>
      <c r="C637" s="1">
        <v>111201</v>
      </c>
      <c r="D637" s="1">
        <v>111201</v>
      </c>
    </row>
    <row r="638" spans="1:4">
      <c r="A638" t="s">
        <v>715</v>
      </c>
      <c r="B638">
        <v>5</v>
      </c>
      <c r="C638" s="1">
        <v>152167</v>
      </c>
      <c r="D638" s="1">
        <v>117874</v>
      </c>
    </row>
    <row r="639" spans="1:4">
      <c r="A639" t="s">
        <v>716</v>
      </c>
      <c r="B639">
        <v>50</v>
      </c>
      <c r="C639" s="1">
        <v>117389</v>
      </c>
      <c r="D639" s="1">
        <v>117389</v>
      </c>
    </row>
    <row r="640" spans="1:4">
      <c r="A640" t="s">
        <v>717</v>
      </c>
      <c r="B640">
        <v>500</v>
      </c>
      <c r="C640" s="1">
        <v>423258</v>
      </c>
      <c r="D640" s="1">
        <v>423258</v>
      </c>
    </row>
    <row r="641" spans="1:4">
      <c r="A641" t="s">
        <v>718</v>
      </c>
      <c r="B641">
        <v>501</v>
      </c>
      <c r="C641" s="1">
        <v>111202</v>
      </c>
      <c r="D641" s="1">
        <v>111202</v>
      </c>
    </row>
    <row r="642" spans="1:4">
      <c r="A642" t="s">
        <v>719</v>
      </c>
      <c r="B642">
        <v>502</v>
      </c>
      <c r="C642" s="1">
        <v>111213</v>
      </c>
      <c r="D642" s="1">
        <v>111213</v>
      </c>
    </row>
    <row r="643" spans="1:4">
      <c r="A643" t="s">
        <v>720</v>
      </c>
      <c r="B643">
        <v>503</v>
      </c>
      <c r="C643" s="1">
        <v>111353</v>
      </c>
      <c r="D643" s="1">
        <v>467577</v>
      </c>
    </row>
    <row r="644" spans="1:4">
      <c r="A644" t="s">
        <v>721</v>
      </c>
      <c r="B644">
        <v>504</v>
      </c>
      <c r="C644" s="1">
        <v>111355</v>
      </c>
      <c r="D644" s="1">
        <v>111355</v>
      </c>
    </row>
    <row r="645" spans="1:4">
      <c r="A645" t="s">
        <v>722</v>
      </c>
      <c r="B645">
        <v>505</v>
      </c>
      <c r="C645" s="1">
        <v>111367</v>
      </c>
      <c r="D645" s="1">
        <v>111367</v>
      </c>
    </row>
    <row r="646" spans="1:4">
      <c r="A646" t="s">
        <v>723</v>
      </c>
      <c r="B646">
        <v>506</v>
      </c>
      <c r="C646" s="1" t="s">
        <v>25</v>
      </c>
      <c r="D646" s="1" t="s">
        <v>25</v>
      </c>
    </row>
    <row r="647" spans="1:4">
      <c r="A647" t="s">
        <v>724</v>
      </c>
      <c r="B647">
        <v>507</v>
      </c>
      <c r="C647" s="1">
        <v>428647</v>
      </c>
      <c r="D647" s="1">
        <v>111374</v>
      </c>
    </row>
    <row r="648" spans="1:4">
      <c r="A648" t="s">
        <v>725</v>
      </c>
      <c r="B648">
        <v>508</v>
      </c>
      <c r="C648" s="1">
        <v>111224</v>
      </c>
      <c r="D648" s="1">
        <v>111224</v>
      </c>
    </row>
    <row r="649" spans="1:4">
      <c r="A649" t="s">
        <v>726</v>
      </c>
      <c r="B649">
        <v>509</v>
      </c>
      <c r="C649" s="1">
        <v>156448</v>
      </c>
      <c r="D649" s="1">
        <v>240936</v>
      </c>
    </row>
    <row r="650" spans="1:4">
      <c r="A650" t="s">
        <v>727</v>
      </c>
      <c r="B650">
        <v>51</v>
      </c>
      <c r="C650" s="1">
        <v>117377</v>
      </c>
      <c r="D650" s="1">
        <v>117377</v>
      </c>
    </row>
    <row r="651" spans="1:4">
      <c r="A651" t="s">
        <v>728</v>
      </c>
      <c r="B651">
        <v>510</v>
      </c>
      <c r="C651" s="1">
        <v>111227</v>
      </c>
      <c r="D651" s="1">
        <v>1455313</v>
      </c>
    </row>
    <row r="652" spans="1:4">
      <c r="A652" t="s">
        <v>729</v>
      </c>
      <c r="B652">
        <v>511</v>
      </c>
      <c r="C652" s="1">
        <v>472036</v>
      </c>
      <c r="D652" s="1">
        <v>472036</v>
      </c>
    </row>
    <row r="653" spans="1:4">
      <c r="A653" t="s">
        <v>730</v>
      </c>
      <c r="B653">
        <v>512</v>
      </c>
      <c r="C653" s="1">
        <v>111230</v>
      </c>
      <c r="D653" s="1">
        <v>111230</v>
      </c>
    </row>
    <row r="654" spans="1:4">
      <c r="A654" t="s">
        <v>731</v>
      </c>
      <c r="B654">
        <v>513</v>
      </c>
      <c r="C654" s="1">
        <v>111238</v>
      </c>
      <c r="D654" s="1">
        <v>760340</v>
      </c>
    </row>
    <row r="655" spans="1:4">
      <c r="A655" t="s">
        <v>732</v>
      </c>
      <c r="B655">
        <v>514</v>
      </c>
      <c r="C655" s="1">
        <v>156419</v>
      </c>
      <c r="D655" s="1">
        <v>156419</v>
      </c>
    </row>
    <row r="656" spans="1:4">
      <c r="A656" t="s">
        <v>733</v>
      </c>
      <c r="B656">
        <v>515</v>
      </c>
      <c r="C656" s="1">
        <v>111248</v>
      </c>
      <c r="D656" s="1">
        <v>760213</v>
      </c>
    </row>
    <row r="657" spans="1:4">
      <c r="A657" t="s">
        <v>734</v>
      </c>
      <c r="B657">
        <v>516</v>
      </c>
      <c r="C657" s="1">
        <v>111256</v>
      </c>
      <c r="D657" s="1">
        <v>111256</v>
      </c>
    </row>
    <row r="658" spans="1:4">
      <c r="A658" t="s">
        <v>735</v>
      </c>
      <c r="B658">
        <v>517</v>
      </c>
      <c r="C658" s="1">
        <v>111253</v>
      </c>
      <c r="D658" s="1">
        <v>111253</v>
      </c>
    </row>
    <row r="659" spans="1:4">
      <c r="A659" t="s">
        <v>736</v>
      </c>
      <c r="B659">
        <v>518</v>
      </c>
      <c r="C659" s="1">
        <v>110868</v>
      </c>
      <c r="D659" s="1">
        <v>110868</v>
      </c>
    </row>
    <row r="660" spans="1:4">
      <c r="A660" t="s">
        <v>737</v>
      </c>
      <c r="B660">
        <v>519</v>
      </c>
      <c r="C660" s="1">
        <v>579963</v>
      </c>
      <c r="D660" s="1">
        <v>111288</v>
      </c>
    </row>
    <row r="661" spans="1:4">
      <c r="A661" t="s">
        <v>738</v>
      </c>
      <c r="B661">
        <v>52</v>
      </c>
      <c r="C661" s="1">
        <v>117382</v>
      </c>
      <c r="D661" s="1">
        <v>117382</v>
      </c>
    </row>
    <row r="662" spans="1:4">
      <c r="A662" t="s">
        <v>739</v>
      </c>
      <c r="B662">
        <v>520</v>
      </c>
      <c r="C662" s="1">
        <v>579972</v>
      </c>
      <c r="D662" s="1">
        <v>471460</v>
      </c>
    </row>
    <row r="663" spans="1:4">
      <c r="A663" t="s">
        <v>740</v>
      </c>
      <c r="B663">
        <v>521</v>
      </c>
      <c r="C663" s="1">
        <v>558257</v>
      </c>
      <c r="D663" s="1">
        <v>111277</v>
      </c>
    </row>
    <row r="664" spans="1:4">
      <c r="A664" t="s">
        <v>741</v>
      </c>
      <c r="B664">
        <v>522</v>
      </c>
      <c r="C664" s="1">
        <v>1459372</v>
      </c>
      <c r="D664" s="1">
        <v>111279</v>
      </c>
    </row>
    <row r="665" spans="1:4">
      <c r="A665" t="s">
        <v>742</v>
      </c>
      <c r="B665">
        <v>523</v>
      </c>
      <c r="C665" s="1">
        <v>111312</v>
      </c>
      <c r="D665" s="1">
        <v>1059478</v>
      </c>
    </row>
    <row r="666" spans="1:4">
      <c r="A666" t="s">
        <v>743</v>
      </c>
      <c r="B666">
        <v>524</v>
      </c>
      <c r="C666" s="1">
        <v>156500</v>
      </c>
      <c r="D666" s="1">
        <v>156500</v>
      </c>
    </row>
    <row r="667" spans="1:4">
      <c r="A667" t="s">
        <v>744</v>
      </c>
      <c r="B667">
        <v>525</v>
      </c>
      <c r="C667" s="1">
        <v>111377</v>
      </c>
      <c r="D667" s="1">
        <v>111377</v>
      </c>
    </row>
    <row r="668" spans="1:4">
      <c r="A668" t="s">
        <v>745</v>
      </c>
      <c r="B668">
        <v>526</v>
      </c>
      <c r="C668" s="1">
        <v>111173</v>
      </c>
      <c r="D668" s="1">
        <v>111173</v>
      </c>
    </row>
    <row r="669" spans="1:4">
      <c r="A669" t="s">
        <v>746</v>
      </c>
      <c r="B669">
        <v>527</v>
      </c>
      <c r="C669" s="1">
        <v>111174</v>
      </c>
      <c r="D669" s="1">
        <v>111174</v>
      </c>
    </row>
    <row r="670" spans="1:4">
      <c r="A670" t="s">
        <v>747</v>
      </c>
      <c r="B670">
        <v>528</v>
      </c>
      <c r="C670" s="1">
        <v>111175</v>
      </c>
      <c r="D670" s="1">
        <v>111175</v>
      </c>
    </row>
    <row r="671" spans="1:4">
      <c r="A671" t="s">
        <v>748</v>
      </c>
      <c r="B671">
        <v>529</v>
      </c>
      <c r="C671" s="1">
        <v>110842</v>
      </c>
      <c r="D671" s="1">
        <v>110842</v>
      </c>
    </row>
    <row r="672" spans="1:4">
      <c r="A672" t="s">
        <v>749</v>
      </c>
      <c r="B672">
        <v>53</v>
      </c>
      <c r="C672" s="1">
        <v>117388</v>
      </c>
      <c r="D672" s="1">
        <v>117388</v>
      </c>
    </row>
    <row r="673" spans="1:4">
      <c r="A673" t="s">
        <v>750</v>
      </c>
      <c r="B673">
        <v>530</v>
      </c>
      <c r="C673" s="1">
        <v>470310</v>
      </c>
      <c r="D673" s="1">
        <v>470310</v>
      </c>
    </row>
    <row r="674" spans="1:4">
      <c r="A674" t="s">
        <v>751</v>
      </c>
      <c r="B674">
        <v>531</v>
      </c>
      <c r="C674" s="1">
        <v>111484</v>
      </c>
      <c r="D674" s="1">
        <v>111484</v>
      </c>
    </row>
    <row r="675" spans="1:4">
      <c r="A675" t="s">
        <v>752</v>
      </c>
      <c r="B675">
        <v>532</v>
      </c>
      <c r="C675" s="1">
        <v>423359</v>
      </c>
      <c r="D675" s="1">
        <v>221559</v>
      </c>
    </row>
    <row r="676" spans="1:4">
      <c r="A676" t="s">
        <v>753</v>
      </c>
      <c r="B676">
        <v>533</v>
      </c>
      <c r="C676" s="1">
        <v>111496</v>
      </c>
      <c r="D676" s="1">
        <v>111496</v>
      </c>
    </row>
    <row r="677" spans="1:4">
      <c r="A677" t="s">
        <v>754</v>
      </c>
      <c r="B677">
        <v>534</v>
      </c>
      <c r="C677" s="1">
        <v>110965</v>
      </c>
      <c r="D677" s="1">
        <v>110965</v>
      </c>
    </row>
    <row r="678" spans="1:4">
      <c r="A678" t="s">
        <v>755</v>
      </c>
      <c r="B678">
        <v>535</v>
      </c>
      <c r="C678" s="1">
        <v>346294</v>
      </c>
      <c r="D678" s="1">
        <v>111386</v>
      </c>
    </row>
    <row r="679" spans="1:4">
      <c r="A679" t="s">
        <v>756</v>
      </c>
      <c r="B679">
        <v>536</v>
      </c>
      <c r="C679" s="1" t="s">
        <v>25</v>
      </c>
      <c r="D679" s="1" t="s">
        <v>25</v>
      </c>
    </row>
    <row r="680" spans="1:4">
      <c r="A680" t="s">
        <v>757</v>
      </c>
      <c r="B680">
        <v>537</v>
      </c>
      <c r="C680" s="1" t="s">
        <v>25</v>
      </c>
      <c r="D680" s="1" t="s">
        <v>25</v>
      </c>
    </row>
    <row r="681" spans="1:4">
      <c r="A681" t="s">
        <v>758</v>
      </c>
      <c r="B681">
        <v>538</v>
      </c>
      <c r="C681" s="1">
        <v>111140</v>
      </c>
      <c r="D681" s="1">
        <v>111140</v>
      </c>
    </row>
    <row r="682" spans="1:4">
      <c r="A682" t="s">
        <v>759</v>
      </c>
      <c r="B682">
        <v>539</v>
      </c>
      <c r="C682" s="1">
        <v>111142</v>
      </c>
      <c r="D682" s="1">
        <v>1579356</v>
      </c>
    </row>
    <row r="683" spans="1:4">
      <c r="A683" t="s">
        <v>760</v>
      </c>
      <c r="B683">
        <v>54</v>
      </c>
      <c r="C683" s="1">
        <v>117034</v>
      </c>
      <c r="D683" s="1">
        <v>117034</v>
      </c>
    </row>
    <row r="684" spans="1:4">
      <c r="A684" t="s">
        <v>761</v>
      </c>
      <c r="B684">
        <v>540</v>
      </c>
      <c r="C684" s="1">
        <v>111144</v>
      </c>
      <c r="D684" s="1">
        <v>111144</v>
      </c>
    </row>
    <row r="685" spans="1:4">
      <c r="A685" t="s">
        <v>762</v>
      </c>
      <c r="B685">
        <v>541</v>
      </c>
      <c r="C685" s="1">
        <v>111145</v>
      </c>
      <c r="D685" s="1">
        <v>111145</v>
      </c>
    </row>
    <row r="686" spans="1:4">
      <c r="A686" t="s">
        <v>763</v>
      </c>
      <c r="B686">
        <v>542</v>
      </c>
      <c r="C686" s="1">
        <v>110836</v>
      </c>
      <c r="D686" s="1">
        <v>110836</v>
      </c>
    </row>
    <row r="687" spans="1:4">
      <c r="A687" t="s">
        <v>764</v>
      </c>
      <c r="B687">
        <v>543</v>
      </c>
      <c r="C687" s="1">
        <v>111146</v>
      </c>
      <c r="D687" s="1">
        <v>111146</v>
      </c>
    </row>
    <row r="688" spans="1:4">
      <c r="A688" t="s">
        <v>765</v>
      </c>
      <c r="B688">
        <v>544</v>
      </c>
      <c r="C688" s="1">
        <v>111361</v>
      </c>
      <c r="D688" s="1">
        <v>111361</v>
      </c>
    </row>
    <row r="689" spans="1:4">
      <c r="A689" t="s">
        <v>766</v>
      </c>
      <c r="B689">
        <v>545</v>
      </c>
      <c r="C689" s="1">
        <v>156128</v>
      </c>
      <c r="D689" s="1">
        <v>111076</v>
      </c>
    </row>
    <row r="690" spans="1:4">
      <c r="A690" t="s">
        <v>767</v>
      </c>
      <c r="B690">
        <v>546</v>
      </c>
      <c r="C690" s="1">
        <v>156129</v>
      </c>
      <c r="D690" s="1">
        <v>111077</v>
      </c>
    </row>
    <row r="691" spans="1:4">
      <c r="A691" t="s">
        <v>768</v>
      </c>
      <c r="B691">
        <v>547</v>
      </c>
      <c r="C691" s="1">
        <v>156130</v>
      </c>
      <c r="D691" s="1">
        <v>159889</v>
      </c>
    </row>
    <row r="692" spans="1:4">
      <c r="A692" t="s">
        <v>769</v>
      </c>
      <c r="B692">
        <v>548</v>
      </c>
      <c r="C692" s="1">
        <v>159858</v>
      </c>
      <c r="D692" s="1">
        <v>159858</v>
      </c>
    </row>
    <row r="693" spans="1:4">
      <c r="A693" t="s">
        <v>770</v>
      </c>
      <c r="B693">
        <v>549</v>
      </c>
      <c r="C693" s="1">
        <v>156131</v>
      </c>
      <c r="D693" s="1">
        <v>1579357</v>
      </c>
    </row>
    <row r="694" spans="1:4">
      <c r="A694" t="s">
        <v>771</v>
      </c>
      <c r="B694">
        <v>55</v>
      </c>
      <c r="C694" s="1">
        <v>181520</v>
      </c>
      <c r="D694" s="1">
        <v>117399</v>
      </c>
    </row>
    <row r="695" spans="1:4">
      <c r="A695" t="s">
        <v>772</v>
      </c>
      <c r="B695">
        <v>550</v>
      </c>
      <c r="C695" s="1">
        <v>153819</v>
      </c>
      <c r="D695" s="1">
        <v>862786</v>
      </c>
    </row>
    <row r="696" spans="1:4">
      <c r="A696" t="s">
        <v>773</v>
      </c>
      <c r="B696">
        <v>551</v>
      </c>
      <c r="C696" s="1">
        <v>156389</v>
      </c>
      <c r="D696" s="1">
        <v>156389</v>
      </c>
    </row>
    <row r="697" spans="1:4">
      <c r="A697" t="s">
        <v>774</v>
      </c>
      <c r="B697">
        <v>552</v>
      </c>
      <c r="C697" s="1">
        <v>156390</v>
      </c>
      <c r="D697" s="1">
        <v>156390</v>
      </c>
    </row>
    <row r="698" spans="1:4">
      <c r="A698" t="s">
        <v>775</v>
      </c>
      <c r="B698">
        <v>553</v>
      </c>
      <c r="C698" s="1">
        <v>111524</v>
      </c>
      <c r="D698" s="1">
        <v>147024</v>
      </c>
    </row>
    <row r="699" spans="1:4">
      <c r="A699" t="s">
        <v>776</v>
      </c>
      <c r="B699">
        <v>554</v>
      </c>
      <c r="C699" s="1">
        <v>111526</v>
      </c>
      <c r="D699" s="1">
        <v>111526</v>
      </c>
    </row>
    <row r="700" spans="1:4">
      <c r="A700" t="s">
        <v>777</v>
      </c>
      <c r="B700">
        <v>555</v>
      </c>
      <c r="C700" s="1">
        <v>156391</v>
      </c>
      <c r="D700" s="1">
        <v>156391</v>
      </c>
    </row>
    <row r="701" spans="1:4">
      <c r="A701" t="s">
        <v>778</v>
      </c>
      <c r="B701">
        <v>556</v>
      </c>
      <c r="C701" s="1">
        <v>111532</v>
      </c>
      <c r="D701" s="1">
        <v>156441</v>
      </c>
    </row>
    <row r="702" spans="1:4">
      <c r="A702" t="s">
        <v>779</v>
      </c>
      <c r="B702">
        <v>557</v>
      </c>
      <c r="C702" s="1">
        <v>558259</v>
      </c>
      <c r="D702" s="1">
        <v>111105</v>
      </c>
    </row>
    <row r="703" spans="1:4">
      <c r="A703" t="s">
        <v>780</v>
      </c>
      <c r="B703">
        <v>558</v>
      </c>
      <c r="C703" s="1">
        <v>423445</v>
      </c>
      <c r="D703" s="1">
        <v>159859</v>
      </c>
    </row>
    <row r="704" spans="1:4">
      <c r="A704" t="s">
        <v>781</v>
      </c>
      <c r="B704">
        <v>559</v>
      </c>
      <c r="C704" s="1">
        <v>111407</v>
      </c>
      <c r="D704" s="1">
        <v>111407</v>
      </c>
    </row>
    <row r="705" spans="1:4">
      <c r="A705" t="s">
        <v>782</v>
      </c>
      <c r="B705">
        <v>56</v>
      </c>
      <c r="C705" s="1">
        <v>117426</v>
      </c>
      <c r="D705" s="1">
        <v>117426</v>
      </c>
    </row>
    <row r="706" spans="1:4">
      <c r="A706" t="s">
        <v>783</v>
      </c>
      <c r="B706">
        <v>560</v>
      </c>
      <c r="C706" s="1">
        <v>111399</v>
      </c>
      <c r="D706" s="1">
        <v>111399</v>
      </c>
    </row>
    <row r="707" spans="1:4">
      <c r="A707" t="s">
        <v>784</v>
      </c>
      <c r="B707">
        <v>561</v>
      </c>
      <c r="C707" s="1">
        <v>156132</v>
      </c>
      <c r="D707" s="1">
        <v>156132</v>
      </c>
    </row>
    <row r="708" spans="1:4">
      <c r="A708" t="s">
        <v>785</v>
      </c>
      <c r="B708">
        <v>562</v>
      </c>
      <c r="C708" s="1">
        <v>153710</v>
      </c>
      <c r="D708" s="1">
        <v>111397</v>
      </c>
    </row>
    <row r="709" spans="1:4">
      <c r="A709" t="s">
        <v>786</v>
      </c>
      <c r="B709">
        <v>563</v>
      </c>
      <c r="C709" s="1">
        <v>472376</v>
      </c>
      <c r="D709" s="1">
        <v>472376</v>
      </c>
    </row>
    <row r="710" spans="1:4">
      <c r="A710" t="s">
        <v>787</v>
      </c>
      <c r="B710">
        <v>564</v>
      </c>
      <c r="C710" s="1">
        <v>111421</v>
      </c>
      <c r="D710" s="1">
        <v>111421</v>
      </c>
    </row>
    <row r="711" spans="1:4">
      <c r="A711" t="s">
        <v>788</v>
      </c>
      <c r="B711">
        <v>565</v>
      </c>
      <c r="C711" s="1">
        <v>111121</v>
      </c>
      <c r="D711" s="1">
        <v>111121</v>
      </c>
    </row>
    <row r="712" spans="1:4">
      <c r="A712" t="s">
        <v>789</v>
      </c>
      <c r="B712">
        <v>566</v>
      </c>
      <c r="C712" s="1">
        <v>111124</v>
      </c>
      <c r="D712" s="1">
        <v>111124</v>
      </c>
    </row>
    <row r="713" spans="1:4">
      <c r="A713" t="s">
        <v>790</v>
      </c>
      <c r="B713">
        <v>567</v>
      </c>
      <c r="C713" s="1">
        <v>111127</v>
      </c>
      <c r="D713" s="1">
        <v>156305</v>
      </c>
    </row>
    <row r="714" spans="1:4">
      <c r="A714" t="s">
        <v>791</v>
      </c>
      <c r="B714">
        <v>568</v>
      </c>
      <c r="C714" s="1">
        <v>111129</v>
      </c>
      <c r="D714" s="1">
        <v>111129</v>
      </c>
    </row>
    <row r="715" spans="1:4">
      <c r="A715" t="s">
        <v>792</v>
      </c>
      <c r="B715">
        <v>569</v>
      </c>
      <c r="C715" s="1">
        <v>111132</v>
      </c>
      <c r="D715" s="1">
        <v>423628</v>
      </c>
    </row>
    <row r="716" spans="1:4">
      <c r="A716" t="s">
        <v>793</v>
      </c>
      <c r="B716">
        <v>57</v>
      </c>
      <c r="C716" s="1">
        <v>370559</v>
      </c>
      <c r="D716" s="1">
        <v>117561</v>
      </c>
    </row>
    <row r="717" spans="1:4">
      <c r="A717" t="s">
        <v>794</v>
      </c>
      <c r="B717">
        <v>570</v>
      </c>
      <c r="C717" s="1">
        <v>111133</v>
      </c>
      <c r="D717" s="1">
        <v>111133</v>
      </c>
    </row>
    <row r="718" spans="1:4">
      <c r="A718" t="s">
        <v>795</v>
      </c>
      <c r="B718">
        <v>571</v>
      </c>
      <c r="C718" s="1">
        <v>1036398</v>
      </c>
      <c r="D718" s="1">
        <v>111112</v>
      </c>
    </row>
    <row r="719" spans="1:4">
      <c r="A719" t="s">
        <v>796</v>
      </c>
      <c r="B719">
        <v>572</v>
      </c>
      <c r="C719" s="1">
        <v>111134</v>
      </c>
      <c r="D719" s="1">
        <v>111134</v>
      </c>
    </row>
    <row r="720" spans="1:4">
      <c r="A720" t="s">
        <v>797</v>
      </c>
      <c r="B720">
        <v>573</v>
      </c>
      <c r="C720" s="1">
        <v>576932</v>
      </c>
      <c r="D720" s="1">
        <v>576932</v>
      </c>
    </row>
    <row r="721" spans="1:4">
      <c r="A721" t="s">
        <v>798</v>
      </c>
      <c r="B721">
        <v>574</v>
      </c>
      <c r="C721" s="1">
        <v>111135</v>
      </c>
      <c r="D721" s="1">
        <v>111135</v>
      </c>
    </row>
    <row r="722" spans="1:4">
      <c r="A722" t="s">
        <v>799</v>
      </c>
      <c r="B722">
        <v>575</v>
      </c>
      <c r="C722" s="1">
        <v>111125</v>
      </c>
      <c r="D722" s="1">
        <v>111125</v>
      </c>
    </row>
    <row r="723" spans="1:4">
      <c r="A723" t="s">
        <v>800</v>
      </c>
      <c r="B723">
        <v>576</v>
      </c>
      <c r="C723" s="1">
        <v>423755</v>
      </c>
      <c r="D723" s="1">
        <v>111568</v>
      </c>
    </row>
    <row r="724" spans="1:4">
      <c r="A724" t="s">
        <v>801</v>
      </c>
      <c r="B724">
        <v>577</v>
      </c>
      <c r="C724" s="1">
        <v>111559</v>
      </c>
      <c r="D724" s="1">
        <v>607843</v>
      </c>
    </row>
    <row r="725" spans="1:4">
      <c r="A725" t="s">
        <v>802</v>
      </c>
      <c r="B725">
        <v>578</v>
      </c>
      <c r="C725" s="1">
        <v>111561</v>
      </c>
      <c r="D725" s="1">
        <v>111561</v>
      </c>
    </row>
    <row r="726" spans="1:4">
      <c r="A726" t="s">
        <v>803</v>
      </c>
      <c r="B726">
        <v>579</v>
      </c>
      <c r="C726" s="1">
        <v>221569</v>
      </c>
      <c r="D726" s="1">
        <v>221569</v>
      </c>
    </row>
    <row r="727" spans="1:4">
      <c r="A727" t="s">
        <v>804</v>
      </c>
      <c r="B727">
        <v>58</v>
      </c>
      <c r="C727" s="1">
        <v>292179</v>
      </c>
      <c r="D727" s="1">
        <v>292179</v>
      </c>
    </row>
    <row r="728" spans="1:4">
      <c r="A728" t="s">
        <v>805</v>
      </c>
      <c r="B728">
        <v>580</v>
      </c>
      <c r="C728" s="1">
        <v>423757</v>
      </c>
      <c r="D728" s="1">
        <v>111131</v>
      </c>
    </row>
    <row r="729" spans="1:4">
      <c r="A729" t="s">
        <v>806</v>
      </c>
      <c r="B729">
        <v>581</v>
      </c>
      <c r="C729" s="1">
        <v>423758</v>
      </c>
      <c r="D729" s="1">
        <v>423758</v>
      </c>
    </row>
    <row r="730" spans="1:4">
      <c r="A730" t="s">
        <v>807</v>
      </c>
      <c r="B730">
        <v>582</v>
      </c>
      <c r="C730" s="1">
        <v>111563</v>
      </c>
      <c r="D730" s="1">
        <v>111563</v>
      </c>
    </row>
    <row r="731" spans="1:4">
      <c r="A731" t="s">
        <v>808</v>
      </c>
      <c r="B731">
        <v>583</v>
      </c>
      <c r="C731" s="1">
        <v>156491</v>
      </c>
      <c r="D731" s="1">
        <v>111479</v>
      </c>
    </row>
    <row r="732" spans="1:4">
      <c r="A732" t="s">
        <v>809</v>
      </c>
      <c r="B732">
        <v>584</v>
      </c>
      <c r="C732" s="1">
        <v>423713</v>
      </c>
      <c r="D732" s="1">
        <v>423713</v>
      </c>
    </row>
    <row r="733" spans="1:4">
      <c r="A733" t="s">
        <v>810</v>
      </c>
      <c r="B733">
        <v>585</v>
      </c>
      <c r="C733" s="1">
        <v>111575</v>
      </c>
      <c r="D733" s="1">
        <v>607838</v>
      </c>
    </row>
    <row r="734" spans="1:4">
      <c r="A734" t="s">
        <v>811</v>
      </c>
      <c r="B734">
        <v>586</v>
      </c>
      <c r="C734" s="1">
        <v>156442</v>
      </c>
      <c r="D734" s="1">
        <v>1307154</v>
      </c>
    </row>
    <row r="735" spans="1:4">
      <c r="A735" t="s">
        <v>812</v>
      </c>
      <c r="B735">
        <v>587</v>
      </c>
      <c r="C735" s="1">
        <v>111577</v>
      </c>
      <c r="D735" s="1">
        <v>607840</v>
      </c>
    </row>
    <row r="736" spans="1:4">
      <c r="A736" t="s">
        <v>813</v>
      </c>
      <c r="B736">
        <v>588</v>
      </c>
      <c r="C736" s="1">
        <v>1795</v>
      </c>
      <c r="D736" s="1">
        <v>1795</v>
      </c>
    </row>
    <row r="737" spans="1:4">
      <c r="A737" t="s">
        <v>814</v>
      </c>
      <c r="B737">
        <v>589</v>
      </c>
      <c r="C737" s="1">
        <v>111696</v>
      </c>
      <c r="D737" s="1">
        <v>111696</v>
      </c>
    </row>
    <row r="738" spans="1:4">
      <c r="A738" t="s">
        <v>815</v>
      </c>
      <c r="B738">
        <v>59</v>
      </c>
      <c r="C738" s="1">
        <v>117059</v>
      </c>
      <c r="D738" s="1">
        <v>117059</v>
      </c>
    </row>
    <row r="739" spans="1:4">
      <c r="A739" t="s">
        <v>816</v>
      </c>
      <c r="B739">
        <v>590</v>
      </c>
      <c r="C739" s="1">
        <v>159824</v>
      </c>
      <c r="D739" s="1">
        <v>159824</v>
      </c>
    </row>
    <row r="740" spans="1:4">
      <c r="A740" t="s">
        <v>817</v>
      </c>
      <c r="B740">
        <v>591</v>
      </c>
      <c r="C740" s="1">
        <v>111699</v>
      </c>
      <c r="D740" s="1">
        <v>111699</v>
      </c>
    </row>
    <row r="741" spans="1:4">
      <c r="A741" t="s">
        <v>818</v>
      </c>
      <c r="B741">
        <v>592</v>
      </c>
      <c r="C741" s="1">
        <v>111707</v>
      </c>
      <c r="D741" s="1">
        <v>111707</v>
      </c>
    </row>
    <row r="742" spans="1:4">
      <c r="A742" t="s">
        <v>819</v>
      </c>
      <c r="B742">
        <v>593</v>
      </c>
      <c r="C742" s="1">
        <v>111708</v>
      </c>
      <c r="D742" s="1">
        <v>111708</v>
      </c>
    </row>
    <row r="743" spans="1:4">
      <c r="A743" t="s">
        <v>820</v>
      </c>
      <c r="B743">
        <v>594</v>
      </c>
      <c r="C743" s="1">
        <v>111709</v>
      </c>
      <c r="D743" s="1">
        <v>111709</v>
      </c>
    </row>
    <row r="744" spans="1:4">
      <c r="A744" t="s">
        <v>821</v>
      </c>
      <c r="B744">
        <v>595</v>
      </c>
      <c r="C744" s="1">
        <v>111035</v>
      </c>
      <c r="D744" s="1">
        <v>111035</v>
      </c>
    </row>
    <row r="745" spans="1:4">
      <c r="A745" t="s">
        <v>822</v>
      </c>
      <c r="B745">
        <v>596</v>
      </c>
      <c r="C745" s="1">
        <v>111712</v>
      </c>
      <c r="D745" s="1">
        <v>470797</v>
      </c>
    </row>
    <row r="746" spans="1:4">
      <c r="A746" t="s">
        <v>823</v>
      </c>
      <c r="B746">
        <v>597</v>
      </c>
      <c r="C746" s="1">
        <v>153724</v>
      </c>
      <c r="D746" s="1">
        <v>111730</v>
      </c>
    </row>
    <row r="747" spans="1:4">
      <c r="A747" t="s">
        <v>824</v>
      </c>
      <c r="B747">
        <v>598</v>
      </c>
      <c r="C747" s="1">
        <v>111741</v>
      </c>
      <c r="D747" s="1">
        <v>146845</v>
      </c>
    </row>
    <row r="748" spans="1:4">
      <c r="A748" t="s">
        <v>825</v>
      </c>
      <c r="B748">
        <v>599</v>
      </c>
      <c r="C748" s="1">
        <v>111744</v>
      </c>
      <c r="D748" s="1">
        <v>111744</v>
      </c>
    </row>
    <row r="749" spans="1:4">
      <c r="A749" t="s">
        <v>49</v>
      </c>
      <c r="B749">
        <v>6</v>
      </c>
      <c r="C749" s="1">
        <v>117888</v>
      </c>
      <c r="D749" s="1">
        <v>117888</v>
      </c>
    </row>
    <row r="750" spans="1:4">
      <c r="A750" t="s">
        <v>826</v>
      </c>
      <c r="B750">
        <v>60</v>
      </c>
      <c r="C750" s="1">
        <v>117994</v>
      </c>
      <c r="D750" s="1">
        <v>117994</v>
      </c>
    </row>
    <row r="751" spans="1:4">
      <c r="A751" t="s">
        <v>827</v>
      </c>
      <c r="B751">
        <v>600</v>
      </c>
      <c r="C751" s="1">
        <v>111745</v>
      </c>
      <c r="D751" s="1">
        <v>111745</v>
      </c>
    </row>
    <row r="752" spans="1:4">
      <c r="A752" t="s">
        <v>828</v>
      </c>
      <c r="B752">
        <v>601</v>
      </c>
      <c r="C752" s="1">
        <v>111746</v>
      </c>
      <c r="D752" s="1">
        <v>111746</v>
      </c>
    </row>
    <row r="753" spans="1:4">
      <c r="A753" t="s">
        <v>829</v>
      </c>
      <c r="B753">
        <v>602</v>
      </c>
      <c r="C753" s="1">
        <v>423684</v>
      </c>
      <c r="D753" s="1">
        <v>423684</v>
      </c>
    </row>
    <row r="754" spans="1:4">
      <c r="A754" t="s">
        <v>830</v>
      </c>
      <c r="B754">
        <v>603</v>
      </c>
      <c r="C754" s="1">
        <v>111757</v>
      </c>
      <c r="D754" s="1">
        <v>111757</v>
      </c>
    </row>
    <row r="755" spans="1:4">
      <c r="A755" t="s">
        <v>831</v>
      </c>
      <c r="B755">
        <v>604</v>
      </c>
      <c r="C755" s="1">
        <v>111758</v>
      </c>
      <c r="D755" s="1">
        <v>111758</v>
      </c>
    </row>
    <row r="756" spans="1:4">
      <c r="A756" t="s">
        <v>832</v>
      </c>
      <c r="B756">
        <v>605</v>
      </c>
      <c r="C756" s="1">
        <v>423814</v>
      </c>
      <c r="D756" s="1">
        <v>423814</v>
      </c>
    </row>
    <row r="757" spans="1:4">
      <c r="A757" t="s">
        <v>833</v>
      </c>
      <c r="B757">
        <v>606</v>
      </c>
      <c r="C757" s="1">
        <v>423816</v>
      </c>
      <c r="D757" s="1">
        <v>423816</v>
      </c>
    </row>
    <row r="758" spans="1:4">
      <c r="A758" t="s">
        <v>834</v>
      </c>
      <c r="B758">
        <v>607</v>
      </c>
      <c r="C758" s="1">
        <v>423817</v>
      </c>
      <c r="D758" s="1">
        <v>423817</v>
      </c>
    </row>
    <row r="759" spans="1:4">
      <c r="A759" t="s">
        <v>835</v>
      </c>
      <c r="B759">
        <v>608</v>
      </c>
      <c r="C759" s="1">
        <v>111054</v>
      </c>
      <c r="D759" s="1">
        <v>111054</v>
      </c>
    </row>
    <row r="760" spans="1:4">
      <c r="A760" t="s">
        <v>836</v>
      </c>
      <c r="B760">
        <v>609</v>
      </c>
      <c r="C760" s="1">
        <v>155514</v>
      </c>
      <c r="D760" s="1">
        <v>130500</v>
      </c>
    </row>
    <row r="761" spans="1:4">
      <c r="A761" t="s">
        <v>837</v>
      </c>
      <c r="B761">
        <v>61</v>
      </c>
      <c r="C761" s="1">
        <v>117995</v>
      </c>
      <c r="D761" s="1">
        <v>157933</v>
      </c>
    </row>
    <row r="762" spans="1:4">
      <c r="A762" t="s">
        <v>838</v>
      </c>
      <c r="B762">
        <v>610</v>
      </c>
      <c r="C762" s="1">
        <v>130487</v>
      </c>
      <c r="D762" s="1">
        <v>339492</v>
      </c>
    </row>
    <row r="763" spans="1:4">
      <c r="A763" t="s">
        <v>839</v>
      </c>
      <c r="B763">
        <v>611</v>
      </c>
      <c r="C763" s="1">
        <v>155476</v>
      </c>
      <c r="D763" s="1">
        <v>130500</v>
      </c>
    </row>
    <row r="764" spans="1:4">
      <c r="A764" t="s">
        <v>840</v>
      </c>
      <c r="B764">
        <v>612</v>
      </c>
      <c r="C764" s="1">
        <v>130494</v>
      </c>
      <c r="D764" s="1">
        <v>130494</v>
      </c>
    </row>
    <row r="765" spans="1:4">
      <c r="A765" t="s">
        <v>841</v>
      </c>
      <c r="B765">
        <v>613</v>
      </c>
      <c r="C765" s="1">
        <v>129413</v>
      </c>
      <c r="D765" s="1">
        <v>129413</v>
      </c>
    </row>
    <row r="766" spans="1:4">
      <c r="A766" t="s">
        <v>842</v>
      </c>
      <c r="B766">
        <v>614</v>
      </c>
      <c r="C766" s="1">
        <v>334951</v>
      </c>
      <c r="D766" s="1">
        <v>130512</v>
      </c>
    </row>
    <row r="767" spans="1:4">
      <c r="A767" t="s">
        <v>37</v>
      </c>
      <c r="B767">
        <v>615</v>
      </c>
      <c r="C767" s="1">
        <v>129868</v>
      </c>
      <c r="D767" s="1">
        <v>129868</v>
      </c>
    </row>
    <row r="768" spans="1:4">
      <c r="A768" t="s">
        <v>843</v>
      </c>
      <c r="B768">
        <v>616</v>
      </c>
      <c r="C768" s="1">
        <v>130275</v>
      </c>
      <c r="D768" s="1">
        <v>130275</v>
      </c>
    </row>
    <row r="769" spans="1:4">
      <c r="A769" t="s">
        <v>844</v>
      </c>
      <c r="B769">
        <v>617</v>
      </c>
      <c r="C769" s="1">
        <v>130281</v>
      </c>
      <c r="D769" s="1">
        <v>130281</v>
      </c>
    </row>
    <row r="770" spans="1:4">
      <c r="A770" t="s">
        <v>845</v>
      </c>
      <c r="B770">
        <v>618</v>
      </c>
      <c r="C770" s="1">
        <v>130286</v>
      </c>
      <c r="D770" s="1">
        <v>130286</v>
      </c>
    </row>
    <row r="771" spans="1:4">
      <c r="A771" t="s">
        <v>846</v>
      </c>
      <c r="B771">
        <v>619</v>
      </c>
      <c r="C771" s="1">
        <v>335096</v>
      </c>
      <c r="D771" s="1">
        <v>130286</v>
      </c>
    </row>
    <row r="772" spans="1:4">
      <c r="A772" t="s">
        <v>847</v>
      </c>
      <c r="B772">
        <v>62</v>
      </c>
      <c r="C772" s="1">
        <v>292216</v>
      </c>
      <c r="D772" s="1">
        <v>292216</v>
      </c>
    </row>
    <row r="773" spans="1:4">
      <c r="A773" t="s">
        <v>848</v>
      </c>
      <c r="B773">
        <v>620</v>
      </c>
      <c r="C773" s="1">
        <v>130305</v>
      </c>
      <c r="D773" s="1">
        <v>130305</v>
      </c>
    </row>
    <row r="774" spans="1:4">
      <c r="A774" t="s">
        <v>849</v>
      </c>
      <c r="B774">
        <v>621</v>
      </c>
      <c r="C774" s="1">
        <v>923</v>
      </c>
      <c r="D774" s="1">
        <v>923</v>
      </c>
    </row>
    <row r="775" spans="1:4">
      <c r="A775" t="s">
        <v>850</v>
      </c>
      <c r="B775">
        <v>622</v>
      </c>
      <c r="C775" s="1">
        <v>130311</v>
      </c>
      <c r="D775" s="1">
        <v>130311</v>
      </c>
    </row>
    <row r="776" spans="1:4">
      <c r="A776" t="s">
        <v>851</v>
      </c>
      <c r="B776">
        <v>623</v>
      </c>
      <c r="C776" s="1">
        <v>130313</v>
      </c>
      <c r="D776" s="1">
        <v>334212</v>
      </c>
    </row>
    <row r="777" spans="1:4">
      <c r="A777" t="s">
        <v>852</v>
      </c>
      <c r="B777">
        <v>624</v>
      </c>
      <c r="C777" s="1">
        <v>130315</v>
      </c>
      <c r="D777" s="1">
        <v>334211</v>
      </c>
    </row>
    <row r="778" spans="1:4">
      <c r="A778" t="s">
        <v>853</v>
      </c>
      <c r="B778">
        <v>625</v>
      </c>
      <c r="C778" s="1">
        <v>129357</v>
      </c>
      <c r="D778" s="1">
        <v>129357</v>
      </c>
    </row>
    <row r="779" spans="1:4">
      <c r="A779" t="s">
        <v>854</v>
      </c>
      <c r="B779">
        <v>626</v>
      </c>
      <c r="C779" s="1">
        <v>130320</v>
      </c>
      <c r="D779" s="1">
        <v>130320</v>
      </c>
    </row>
    <row r="780" spans="1:4">
      <c r="A780" t="s">
        <v>855</v>
      </c>
      <c r="B780">
        <v>627</v>
      </c>
      <c r="C780" s="1">
        <v>130326</v>
      </c>
      <c r="D780" s="1">
        <v>130326</v>
      </c>
    </row>
    <row r="781" spans="1:4">
      <c r="A781" t="s">
        <v>856</v>
      </c>
      <c r="B781">
        <v>628</v>
      </c>
      <c r="C781" s="1">
        <v>130327</v>
      </c>
      <c r="D781" s="1">
        <v>130327</v>
      </c>
    </row>
    <row r="782" spans="1:4">
      <c r="A782" t="s">
        <v>857</v>
      </c>
      <c r="B782">
        <v>629</v>
      </c>
      <c r="C782" s="1">
        <v>130330</v>
      </c>
      <c r="D782" s="1">
        <v>130330</v>
      </c>
    </row>
    <row r="783" spans="1:4">
      <c r="A783" t="s">
        <v>858</v>
      </c>
      <c r="B783">
        <v>63</v>
      </c>
      <c r="C783" s="1">
        <v>117258</v>
      </c>
      <c r="D783" s="1">
        <v>117258</v>
      </c>
    </row>
    <row r="784" spans="1:4">
      <c r="A784" t="s">
        <v>859</v>
      </c>
      <c r="B784">
        <v>630</v>
      </c>
      <c r="C784" s="1">
        <v>130331</v>
      </c>
      <c r="D784" s="1">
        <v>130331</v>
      </c>
    </row>
    <row r="785" spans="1:4">
      <c r="A785" t="s">
        <v>860</v>
      </c>
      <c r="B785">
        <v>631</v>
      </c>
      <c r="C785" s="1">
        <v>129363</v>
      </c>
      <c r="D785" s="1">
        <v>129363</v>
      </c>
    </row>
    <row r="786" spans="1:4">
      <c r="A786" t="s">
        <v>861</v>
      </c>
      <c r="B786">
        <v>632</v>
      </c>
      <c r="C786" s="1">
        <v>254728</v>
      </c>
      <c r="D786" s="1">
        <v>130097</v>
      </c>
    </row>
    <row r="787" spans="1:4">
      <c r="A787" t="s">
        <v>862</v>
      </c>
      <c r="B787">
        <v>633</v>
      </c>
      <c r="C787" s="1">
        <v>129289</v>
      </c>
      <c r="D787" s="1">
        <v>129289</v>
      </c>
    </row>
    <row r="788" spans="1:4">
      <c r="A788" t="s">
        <v>863</v>
      </c>
      <c r="B788">
        <v>634</v>
      </c>
      <c r="C788" s="1">
        <v>130099</v>
      </c>
      <c r="D788" s="1">
        <v>1355594</v>
      </c>
    </row>
    <row r="789" spans="1:4">
      <c r="A789" t="s">
        <v>864</v>
      </c>
      <c r="B789">
        <v>635</v>
      </c>
      <c r="C789" s="1">
        <v>130102</v>
      </c>
      <c r="D789" s="1">
        <v>1468915</v>
      </c>
    </row>
    <row r="790" spans="1:4">
      <c r="A790" t="s">
        <v>865</v>
      </c>
      <c r="B790">
        <v>636</v>
      </c>
      <c r="C790" s="1">
        <v>129290</v>
      </c>
      <c r="D790" s="1">
        <v>129290</v>
      </c>
    </row>
    <row r="791" spans="1:4">
      <c r="A791" t="s">
        <v>866</v>
      </c>
      <c r="B791">
        <v>637</v>
      </c>
      <c r="C791" s="1">
        <v>130103</v>
      </c>
      <c r="D791" s="1">
        <v>130103</v>
      </c>
    </row>
    <row r="792" spans="1:4">
      <c r="A792" t="s">
        <v>867</v>
      </c>
      <c r="B792">
        <v>638</v>
      </c>
      <c r="C792" s="1">
        <v>423374</v>
      </c>
      <c r="D792" s="1">
        <v>423374</v>
      </c>
    </row>
    <row r="793" spans="1:4">
      <c r="A793" t="s">
        <v>868</v>
      </c>
      <c r="B793">
        <v>639</v>
      </c>
      <c r="C793" s="1">
        <v>762194</v>
      </c>
      <c r="D793" s="1">
        <v>976</v>
      </c>
    </row>
    <row r="794" spans="1:4">
      <c r="A794" t="s">
        <v>869</v>
      </c>
      <c r="B794">
        <v>64</v>
      </c>
      <c r="C794" s="1">
        <v>835515</v>
      </c>
      <c r="D794" s="1">
        <v>117483</v>
      </c>
    </row>
    <row r="795" spans="1:4">
      <c r="A795" t="s">
        <v>870</v>
      </c>
      <c r="B795">
        <v>640</v>
      </c>
      <c r="C795" s="1">
        <v>130113</v>
      </c>
      <c r="D795" s="1">
        <v>130113</v>
      </c>
    </row>
    <row r="796" spans="1:4">
      <c r="A796" t="s">
        <v>871</v>
      </c>
      <c r="B796">
        <v>641</v>
      </c>
      <c r="C796" s="1">
        <v>155506</v>
      </c>
      <c r="D796" s="1">
        <v>130113</v>
      </c>
    </row>
    <row r="797" spans="1:4">
      <c r="A797" t="s">
        <v>36</v>
      </c>
      <c r="B797">
        <v>642</v>
      </c>
      <c r="C797" s="1">
        <v>129876</v>
      </c>
      <c r="D797" s="1">
        <v>129876</v>
      </c>
    </row>
    <row r="798" spans="1:4">
      <c r="A798" t="s">
        <v>872</v>
      </c>
      <c r="B798">
        <v>643</v>
      </c>
      <c r="C798" s="1">
        <v>921</v>
      </c>
      <c r="D798" s="1">
        <v>921</v>
      </c>
    </row>
    <row r="799" spans="1:4">
      <c r="A799" t="s">
        <v>873</v>
      </c>
      <c r="B799">
        <v>644</v>
      </c>
      <c r="C799" s="1">
        <v>129884</v>
      </c>
      <c r="D799" s="1">
        <v>129884</v>
      </c>
    </row>
    <row r="800" spans="1:4">
      <c r="A800" t="s">
        <v>874</v>
      </c>
      <c r="B800">
        <v>645</v>
      </c>
      <c r="C800" s="1">
        <v>129898</v>
      </c>
      <c r="D800" s="1">
        <v>129898</v>
      </c>
    </row>
    <row r="801" spans="1:4">
      <c r="A801" t="s">
        <v>875</v>
      </c>
      <c r="B801">
        <v>646</v>
      </c>
      <c r="C801" s="1">
        <v>130543</v>
      </c>
      <c r="D801" s="1">
        <v>146950</v>
      </c>
    </row>
    <row r="802" spans="1:4">
      <c r="A802" t="s">
        <v>876</v>
      </c>
      <c r="B802">
        <v>647</v>
      </c>
      <c r="C802" s="1">
        <v>130542</v>
      </c>
      <c r="D802" s="1">
        <v>130542</v>
      </c>
    </row>
    <row r="803" spans="1:4">
      <c r="A803" t="s">
        <v>877</v>
      </c>
      <c r="B803">
        <v>648</v>
      </c>
      <c r="C803" s="1">
        <v>130544</v>
      </c>
      <c r="D803" s="1">
        <v>130544</v>
      </c>
    </row>
    <row r="804" spans="1:4">
      <c r="A804" t="s">
        <v>878</v>
      </c>
      <c r="B804">
        <v>649</v>
      </c>
      <c r="C804" s="1">
        <v>130980</v>
      </c>
      <c r="D804" s="1">
        <v>130980</v>
      </c>
    </row>
    <row r="805" spans="1:4">
      <c r="A805" t="s">
        <v>879</v>
      </c>
      <c r="B805">
        <v>65</v>
      </c>
      <c r="C805" s="1">
        <v>173690</v>
      </c>
      <c r="D805" s="1">
        <v>117491</v>
      </c>
    </row>
    <row r="806" spans="1:4">
      <c r="A806" t="s">
        <v>880</v>
      </c>
      <c r="B806">
        <v>650</v>
      </c>
      <c r="C806" s="1">
        <v>334723</v>
      </c>
      <c r="D806" s="1">
        <v>334724</v>
      </c>
    </row>
    <row r="807" spans="1:4">
      <c r="A807" t="s">
        <v>881</v>
      </c>
      <c r="B807">
        <v>651</v>
      </c>
      <c r="C807" s="1">
        <v>129555</v>
      </c>
      <c r="D807" s="1">
        <v>129555</v>
      </c>
    </row>
    <row r="808" spans="1:4">
      <c r="A808" t="s">
        <v>882</v>
      </c>
      <c r="B808">
        <v>652</v>
      </c>
      <c r="C808" s="1">
        <v>129775</v>
      </c>
      <c r="D808" s="1">
        <v>129775</v>
      </c>
    </row>
    <row r="809" spans="1:4">
      <c r="A809" t="s">
        <v>883</v>
      </c>
      <c r="B809">
        <v>653</v>
      </c>
      <c r="C809" s="1">
        <v>159916</v>
      </c>
      <c r="D809" s="1">
        <v>129778</v>
      </c>
    </row>
    <row r="810" spans="1:4">
      <c r="A810" t="s">
        <v>884</v>
      </c>
      <c r="B810">
        <v>654</v>
      </c>
      <c r="C810" s="1">
        <v>129778</v>
      </c>
      <c r="D810" s="1">
        <v>129778</v>
      </c>
    </row>
    <row r="811" spans="1:4">
      <c r="A811" t="s">
        <v>885</v>
      </c>
      <c r="B811">
        <v>655</v>
      </c>
      <c r="C811" s="1">
        <v>129779</v>
      </c>
      <c r="D811" s="1">
        <v>129779</v>
      </c>
    </row>
    <row r="812" spans="1:4">
      <c r="A812" t="s">
        <v>886</v>
      </c>
      <c r="B812">
        <v>656</v>
      </c>
      <c r="C812" s="1">
        <v>129781</v>
      </c>
      <c r="D812" s="1">
        <v>129781</v>
      </c>
    </row>
    <row r="813" spans="1:4">
      <c r="A813" t="s">
        <v>887</v>
      </c>
      <c r="B813">
        <v>657</v>
      </c>
      <c r="C813" s="1">
        <v>129155</v>
      </c>
      <c r="D813" s="1">
        <v>129155</v>
      </c>
    </row>
    <row r="814" spans="1:4">
      <c r="A814" t="s">
        <v>888</v>
      </c>
      <c r="B814">
        <v>658</v>
      </c>
      <c r="C814" s="1">
        <v>129783</v>
      </c>
      <c r="D814" s="1">
        <v>129783</v>
      </c>
    </row>
    <row r="815" spans="1:4">
      <c r="A815" t="s">
        <v>889</v>
      </c>
      <c r="B815">
        <v>659</v>
      </c>
      <c r="C815" s="1">
        <v>981</v>
      </c>
      <c r="D815" s="1">
        <v>981</v>
      </c>
    </row>
    <row r="816" spans="1:4">
      <c r="A816" t="s">
        <v>890</v>
      </c>
      <c r="B816">
        <v>66</v>
      </c>
      <c r="C816" s="1">
        <v>117539</v>
      </c>
      <c r="D816" s="1">
        <v>117539</v>
      </c>
    </row>
    <row r="817" spans="1:4">
      <c r="A817" t="s">
        <v>891</v>
      </c>
      <c r="B817">
        <v>660</v>
      </c>
      <c r="C817" s="1">
        <v>129789</v>
      </c>
      <c r="D817" s="1">
        <v>129789</v>
      </c>
    </row>
    <row r="818" spans="1:4">
      <c r="A818" t="s">
        <v>892</v>
      </c>
      <c r="B818">
        <v>661</v>
      </c>
      <c r="C818" s="1">
        <v>129800</v>
      </c>
      <c r="D818" s="1">
        <v>129800</v>
      </c>
    </row>
    <row r="819" spans="1:4">
      <c r="A819" t="s">
        <v>893</v>
      </c>
      <c r="B819">
        <v>662</v>
      </c>
      <c r="C819" s="1">
        <v>129804</v>
      </c>
      <c r="D819" s="1">
        <v>129804</v>
      </c>
    </row>
    <row r="820" spans="1:4">
      <c r="A820" t="s">
        <v>894</v>
      </c>
      <c r="B820">
        <v>663</v>
      </c>
      <c r="C820" s="1">
        <v>129805</v>
      </c>
      <c r="D820" s="1">
        <v>129805</v>
      </c>
    </row>
    <row r="821" spans="1:4">
      <c r="A821" t="s">
        <v>895</v>
      </c>
      <c r="B821">
        <v>664</v>
      </c>
      <c r="C821" s="1">
        <v>129817</v>
      </c>
      <c r="D821" s="1">
        <v>332927</v>
      </c>
    </row>
    <row r="822" spans="1:4">
      <c r="A822" t="s">
        <v>896</v>
      </c>
      <c r="B822">
        <v>665</v>
      </c>
      <c r="C822" s="1">
        <v>131472</v>
      </c>
      <c r="D822" s="1">
        <v>131502</v>
      </c>
    </row>
    <row r="823" spans="1:4">
      <c r="A823" t="s">
        <v>897</v>
      </c>
      <c r="B823">
        <v>666</v>
      </c>
      <c r="C823" s="1">
        <v>131474</v>
      </c>
      <c r="D823" s="1">
        <v>131474</v>
      </c>
    </row>
    <row r="824" spans="1:4">
      <c r="A824" t="s">
        <v>898</v>
      </c>
      <c r="B824">
        <v>667</v>
      </c>
      <c r="C824" s="1">
        <v>155162</v>
      </c>
      <c r="D824" s="1">
        <v>131504</v>
      </c>
    </row>
    <row r="825" spans="1:4">
      <c r="A825" t="s">
        <v>899</v>
      </c>
      <c r="B825">
        <v>668</v>
      </c>
      <c r="C825" s="1">
        <v>129686</v>
      </c>
      <c r="D825" s="1">
        <v>129686</v>
      </c>
    </row>
    <row r="826" spans="1:4">
      <c r="A826" t="s">
        <v>900</v>
      </c>
      <c r="B826">
        <v>669</v>
      </c>
      <c r="C826" s="1">
        <v>131482</v>
      </c>
      <c r="D826" s="1">
        <v>131482</v>
      </c>
    </row>
    <row r="827" spans="1:4">
      <c r="A827" t="s">
        <v>901</v>
      </c>
      <c r="B827">
        <v>67</v>
      </c>
      <c r="C827" s="1">
        <v>117544</v>
      </c>
      <c r="D827" s="1">
        <v>117544</v>
      </c>
    </row>
    <row r="828" spans="1:4">
      <c r="A828" t="s">
        <v>902</v>
      </c>
      <c r="B828">
        <v>670</v>
      </c>
      <c r="C828" s="1">
        <v>131494</v>
      </c>
      <c r="D828" s="1">
        <v>131494</v>
      </c>
    </row>
    <row r="829" spans="1:4">
      <c r="A829" t="s">
        <v>903</v>
      </c>
      <c r="B829">
        <v>671</v>
      </c>
      <c r="C829" s="1">
        <v>131496</v>
      </c>
      <c r="D829" s="1">
        <v>131496</v>
      </c>
    </row>
    <row r="830" spans="1:4">
      <c r="A830" t="s">
        <v>904</v>
      </c>
      <c r="B830">
        <v>672</v>
      </c>
      <c r="C830" s="1">
        <v>155008</v>
      </c>
      <c r="D830" s="1">
        <v>154965</v>
      </c>
    </row>
    <row r="831" spans="1:4">
      <c r="A831" t="s">
        <v>905</v>
      </c>
      <c r="B831">
        <v>673</v>
      </c>
      <c r="C831" s="1">
        <v>131502</v>
      </c>
      <c r="D831" s="1">
        <v>131502</v>
      </c>
    </row>
    <row r="832" spans="1:4">
      <c r="A832" t="s">
        <v>906</v>
      </c>
      <c r="B832">
        <v>674</v>
      </c>
      <c r="C832" s="1">
        <v>131504</v>
      </c>
      <c r="D832" s="1">
        <v>131504</v>
      </c>
    </row>
    <row r="833" spans="1:4">
      <c r="A833" t="s">
        <v>907</v>
      </c>
      <c r="B833">
        <v>675</v>
      </c>
      <c r="C833" s="1">
        <v>129702</v>
      </c>
      <c r="D833" s="1">
        <v>129702</v>
      </c>
    </row>
    <row r="834" spans="1:4">
      <c r="A834" t="s">
        <v>908</v>
      </c>
      <c r="B834">
        <v>676</v>
      </c>
      <c r="C834" s="1">
        <v>131508</v>
      </c>
      <c r="D834" s="1">
        <v>131508</v>
      </c>
    </row>
    <row r="835" spans="1:4">
      <c r="A835" t="s">
        <v>909</v>
      </c>
      <c r="B835">
        <v>677</v>
      </c>
      <c r="C835" s="1">
        <v>152454</v>
      </c>
      <c r="D835" s="1">
        <v>152454</v>
      </c>
    </row>
    <row r="836" spans="1:4">
      <c r="A836" t="s">
        <v>910</v>
      </c>
      <c r="B836">
        <v>678</v>
      </c>
      <c r="C836" s="1">
        <v>131516</v>
      </c>
      <c r="D836" s="1">
        <v>131516</v>
      </c>
    </row>
    <row r="837" spans="1:4">
      <c r="A837" t="s">
        <v>911</v>
      </c>
      <c r="B837">
        <v>679</v>
      </c>
      <c r="C837" s="1">
        <v>334540</v>
      </c>
      <c r="D837" s="1">
        <v>131483</v>
      </c>
    </row>
    <row r="838" spans="1:4">
      <c r="A838" t="s">
        <v>912</v>
      </c>
      <c r="B838">
        <v>68</v>
      </c>
      <c r="C838" s="1">
        <v>117554</v>
      </c>
      <c r="D838" s="1">
        <v>117554</v>
      </c>
    </row>
    <row r="839" spans="1:4">
      <c r="A839" t="s">
        <v>913</v>
      </c>
      <c r="B839">
        <v>680</v>
      </c>
      <c r="C839" s="1">
        <v>868065</v>
      </c>
      <c r="D839" s="1">
        <v>868065</v>
      </c>
    </row>
    <row r="840" spans="1:4">
      <c r="A840" t="s">
        <v>914</v>
      </c>
      <c r="B840">
        <v>681</v>
      </c>
      <c r="C840" s="1">
        <v>131531</v>
      </c>
      <c r="D840" s="1">
        <v>131531</v>
      </c>
    </row>
    <row r="841" spans="1:4">
      <c r="A841" t="s">
        <v>915</v>
      </c>
      <c r="B841">
        <v>682</v>
      </c>
      <c r="C841" s="1">
        <v>334636</v>
      </c>
      <c r="D841" s="1">
        <v>157545</v>
      </c>
    </row>
    <row r="842" spans="1:4">
      <c r="A842" t="s">
        <v>916</v>
      </c>
      <c r="B842">
        <v>683</v>
      </c>
      <c r="C842" s="1">
        <v>131537</v>
      </c>
      <c r="D842" s="1">
        <v>131537</v>
      </c>
    </row>
    <row r="843" spans="1:4">
      <c r="A843" t="s">
        <v>917</v>
      </c>
      <c r="B843">
        <v>684</v>
      </c>
      <c r="C843" s="1">
        <v>332476</v>
      </c>
      <c r="D843" s="1">
        <v>131486</v>
      </c>
    </row>
    <row r="844" spans="1:4">
      <c r="A844" t="s">
        <v>918</v>
      </c>
      <c r="B844">
        <v>685</v>
      </c>
      <c r="C844" s="1">
        <v>982</v>
      </c>
      <c r="D844" s="1">
        <v>982</v>
      </c>
    </row>
    <row r="845" spans="1:4">
      <c r="A845" t="s">
        <v>919</v>
      </c>
      <c r="B845">
        <v>686</v>
      </c>
      <c r="C845" s="1" t="s">
        <v>25</v>
      </c>
      <c r="D845" s="1" t="s">
        <v>25</v>
      </c>
    </row>
    <row r="846" spans="1:4">
      <c r="A846" t="s">
        <v>920</v>
      </c>
      <c r="B846">
        <v>687</v>
      </c>
      <c r="C846" s="1">
        <v>131543</v>
      </c>
      <c r="D846" s="1">
        <v>131543</v>
      </c>
    </row>
    <row r="847" spans="1:4">
      <c r="A847" t="s">
        <v>921</v>
      </c>
      <c r="B847">
        <v>688</v>
      </c>
      <c r="C847" s="1">
        <v>129714</v>
      </c>
      <c r="D847" s="1">
        <v>129714</v>
      </c>
    </row>
    <row r="848" spans="1:4">
      <c r="A848" t="s">
        <v>922</v>
      </c>
      <c r="B848">
        <v>689</v>
      </c>
      <c r="C848" s="1">
        <v>130593</v>
      </c>
      <c r="D848" s="1">
        <v>238377</v>
      </c>
    </row>
    <row r="849" spans="1:4">
      <c r="A849" t="s">
        <v>923</v>
      </c>
      <c r="B849">
        <v>69</v>
      </c>
      <c r="C849" s="1">
        <v>117690</v>
      </c>
      <c r="D849" s="1">
        <v>117690</v>
      </c>
    </row>
    <row r="850" spans="1:4">
      <c r="A850" t="s">
        <v>924</v>
      </c>
      <c r="B850">
        <v>690</v>
      </c>
      <c r="C850" s="1">
        <v>130594</v>
      </c>
      <c r="D850" s="1">
        <v>157317</v>
      </c>
    </row>
    <row r="851" spans="1:4">
      <c r="A851" t="s">
        <v>925</v>
      </c>
      <c r="B851">
        <v>691</v>
      </c>
      <c r="C851" s="1">
        <v>234099</v>
      </c>
      <c r="D851" s="1">
        <v>152367</v>
      </c>
    </row>
    <row r="852" spans="1:4">
      <c r="A852" t="s">
        <v>926</v>
      </c>
      <c r="B852">
        <v>692</v>
      </c>
      <c r="C852" s="1">
        <v>183466</v>
      </c>
      <c r="D852" s="1">
        <v>131573</v>
      </c>
    </row>
    <row r="853" spans="1:4">
      <c r="A853" t="s">
        <v>927</v>
      </c>
      <c r="B853">
        <v>693</v>
      </c>
      <c r="C853" s="1">
        <v>131574</v>
      </c>
      <c r="D853" s="1">
        <v>131574</v>
      </c>
    </row>
    <row r="854" spans="1:4">
      <c r="A854" t="s">
        <v>928</v>
      </c>
      <c r="B854">
        <v>694</v>
      </c>
      <c r="C854" s="1">
        <v>146499</v>
      </c>
      <c r="D854" s="1">
        <v>130734</v>
      </c>
    </row>
    <row r="855" spans="1:4">
      <c r="A855" t="s">
        <v>929</v>
      </c>
      <c r="B855">
        <v>695</v>
      </c>
      <c r="C855" s="1">
        <v>146500</v>
      </c>
      <c r="D855" s="1">
        <v>130735</v>
      </c>
    </row>
    <row r="856" spans="1:4">
      <c r="A856" t="s">
        <v>930</v>
      </c>
      <c r="B856">
        <v>696</v>
      </c>
      <c r="C856" s="1">
        <v>146498</v>
      </c>
      <c r="D856" s="1">
        <v>129483</v>
      </c>
    </row>
    <row r="857" spans="1:4">
      <c r="A857" t="s">
        <v>931</v>
      </c>
      <c r="B857">
        <v>697</v>
      </c>
      <c r="C857" s="1">
        <v>938</v>
      </c>
      <c r="D857" s="1">
        <v>938</v>
      </c>
    </row>
    <row r="858" spans="1:4">
      <c r="A858" t="s">
        <v>932</v>
      </c>
      <c r="B858">
        <v>698</v>
      </c>
      <c r="C858" s="1">
        <v>130745</v>
      </c>
      <c r="D858" s="1">
        <v>130745</v>
      </c>
    </row>
    <row r="859" spans="1:4">
      <c r="A859" t="s">
        <v>933</v>
      </c>
      <c r="B859">
        <v>699</v>
      </c>
      <c r="C859" s="1">
        <v>152313</v>
      </c>
      <c r="D859" s="1">
        <v>130749</v>
      </c>
    </row>
    <row r="860" spans="1:4">
      <c r="A860" t="s">
        <v>934</v>
      </c>
      <c r="B860">
        <v>7</v>
      </c>
      <c r="C860" s="1">
        <v>117890</v>
      </c>
      <c r="D860" s="1">
        <v>117890</v>
      </c>
    </row>
    <row r="861" spans="1:4">
      <c r="A861" t="s">
        <v>935</v>
      </c>
      <c r="B861">
        <v>70</v>
      </c>
      <c r="C861" s="1">
        <v>117692</v>
      </c>
      <c r="D861" s="1">
        <v>117692</v>
      </c>
    </row>
    <row r="862" spans="1:4">
      <c r="A862" t="s">
        <v>936</v>
      </c>
      <c r="B862">
        <v>700</v>
      </c>
      <c r="C862" s="1">
        <v>130769</v>
      </c>
      <c r="D862" s="1">
        <v>130769</v>
      </c>
    </row>
    <row r="863" spans="1:4">
      <c r="A863" t="s">
        <v>937</v>
      </c>
      <c r="B863">
        <v>701</v>
      </c>
      <c r="C863" s="1">
        <v>130779</v>
      </c>
      <c r="D863" s="1">
        <v>130779</v>
      </c>
    </row>
    <row r="864" spans="1:4">
      <c r="A864" t="s">
        <v>938</v>
      </c>
      <c r="B864">
        <v>702</v>
      </c>
      <c r="C864" s="1">
        <v>155155</v>
      </c>
      <c r="D864" s="1">
        <v>130762</v>
      </c>
    </row>
    <row r="865" spans="1:4">
      <c r="A865" t="s">
        <v>939</v>
      </c>
      <c r="B865">
        <v>703</v>
      </c>
      <c r="C865" s="1">
        <v>130801</v>
      </c>
      <c r="D865" s="1">
        <v>130801</v>
      </c>
    </row>
    <row r="866" spans="1:4">
      <c r="A866" t="s">
        <v>940</v>
      </c>
      <c r="B866">
        <v>704</v>
      </c>
      <c r="C866" s="1">
        <v>130819</v>
      </c>
      <c r="D866" s="1">
        <v>130819</v>
      </c>
    </row>
    <row r="867" spans="1:4">
      <c r="A867" t="s">
        <v>941</v>
      </c>
      <c r="B867">
        <v>705</v>
      </c>
      <c r="C867" s="1">
        <v>147035</v>
      </c>
      <c r="D867" s="1">
        <v>130739</v>
      </c>
    </row>
    <row r="868" spans="1:4">
      <c r="A868" t="s">
        <v>942</v>
      </c>
      <c r="B868">
        <v>706</v>
      </c>
      <c r="C868" s="1">
        <v>130603</v>
      </c>
      <c r="D868" s="1">
        <v>130603</v>
      </c>
    </row>
    <row r="869" spans="1:4">
      <c r="A869" t="s">
        <v>943</v>
      </c>
      <c r="B869">
        <v>707</v>
      </c>
      <c r="C869" s="1">
        <v>231870</v>
      </c>
      <c r="D869" s="1">
        <v>147027</v>
      </c>
    </row>
    <row r="870" spans="1:4">
      <c r="A870" t="s">
        <v>944</v>
      </c>
      <c r="B870">
        <v>708</v>
      </c>
      <c r="C870" s="1">
        <v>130613</v>
      </c>
      <c r="D870" s="1">
        <v>130613</v>
      </c>
    </row>
    <row r="871" spans="1:4">
      <c r="A871" t="s">
        <v>35</v>
      </c>
      <c r="B871">
        <v>709</v>
      </c>
      <c r="C871" s="1">
        <v>130616</v>
      </c>
      <c r="D871" s="1">
        <v>130616</v>
      </c>
    </row>
    <row r="872" spans="1:4">
      <c r="A872" t="s">
        <v>945</v>
      </c>
      <c r="B872">
        <v>71</v>
      </c>
      <c r="C872" s="1">
        <v>117693</v>
      </c>
      <c r="D872" s="1">
        <v>117693</v>
      </c>
    </row>
    <row r="873" spans="1:4">
      <c r="A873" t="s">
        <v>946</v>
      </c>
      <c r="B873">
        <v>710</v>
      </c>
      <c r="C873" s="1">
        <v>129443</v>
      </c>
      <c r="D873" s="1">
        <v>129443</v>
      </c>
    </row>
    <row r="874" spans="1:4">
      <c r="A874" t="s">
        <v>947</v>
      </c>
      <c r="B874">
        <v>711</v>
      </c>
      <c r="C874" s="1">
        <v>130624</v>
      </c>
      <c r="D874" s="1">
        <v>130624</v>
      </c>
    </row>
    <row r="875" spans="1:4">
      <c r="A875" t="s">
        <v>948</v>
      </c>
      <c r="B875">
        <v>712</v>
      </c>
      <c r="C875" s="1">
        <v>130639</v>
      </c>
      <c r="D875" s="1">
        <v>130639</v>
      </c>
    </row>
    <row r="876" spans="1:4">
      <c r="A876" t="s">
        <v>949</v>
      </c>
      <c r="B876">
        <v>713</v>
      </c>
      <c r="C876" s="1">
        <v>130644</v>
      </c>
      <c r="D876" s="1">
        <v>130644</v>
      </c>
    </row>
    <row r="877" spans="1:4">
      <c r="A877" t="s">
        <v>950</v>
      </c>
      <c r="B877">
        <v>714</v>
      </c>
      <c r="C877" s="1">
        <v>129450</v>
      </c>
      <c r="D877" s="1">
        <v>129450</v>
      </c>
    </row>
    <row r="878" spans="1:4">
      <c r="A878" t="s">
        <v>951</v>
      </c>
      <c r="B878">
        <v>715</v>
      </c>
      <c r="C878" s="1">
        <v>130663</v>
      </c>
      <c r="D878" s="1">
        <v>130663</v>
      </c>
    </row>
    <row r="879" spans="1:4">
      <c r="A879" t="s">
        <v>952</v>
      </c>
      <c r="B879">
        <v>716</v>
      </c>
      <c r="C879" s="1">
        <v>130666</v>
      </c>
      <c r="D879" s="1">
        <v>130666</v>
      </c>
    </row>
    <row r="880" spans="1:4">
      <c r="A880" t="s">
        <v>953</v>
      </c>
      <c r="B880">
        <v>717</v>
      </c>
      <c r="C880" s="1">
        <v>334506</v>
      </c>
      <c r="D880" s="1">
        <v>334506</v>
      </c>
    </row>
    <row r="881" spans="1:4">
      <c r="A881" t="s">
        <v>55</v>
      </c>
      <c r="B881">
        <v>718</v>
      </c>
      <c r="C881" s="1">
        <v>334510</v>
      </c>
      <c r="D881" s="1">
        <v>334510</v>
      </c>
    </row>
    <row r="882" spans="1:4">
      <c r="A882" t="s">
        <v>954</v>
      </c>
      <c r="B882">
        <v>719</v>
      </c>
      <c r="C882" s="1">
        <v>334512</v>
      </c>
      <c r="D882" s="1">
        <v>334512</v>
      </c>
    </row>
    <row r="883" spans="1:4">
      <c r="A883" t="s">
        <v>955</v>
      </c>
      <c r="B883">
        <v>72</v>
      </c>
      <c r="C883" s="1">
        <v>117134</v>
      </c>
      <c r="D883" s="1">
        <v>117134</v>
      </c>
    </row>
    <row r="884" spans="1:4">
      <c r="A884" t="s">
        <v>956</v>
      </c>
      <c r="B884">
        <v>720</v>
      </c>
      <c r="C884" s="1">
        <v>129455</v>
      </c>
      <c r="D884" s="1">
        <v>129455</v>
      </c>
    </row>
    <row r="885" spans="1:4">
      <c r="A885" t="s">
        <v>957</v>
      </c>
      <c r="B885">
        <v>721</v>
      </c>
      <c r="C885" s="1">
        <v>931</v>
      </c>
      <c r="D885" s="1">
        <v>931</v>
      </c>
    </row>
    <row r="886" spans="1:4">
      <c r="A886" t="s">
        <v>958</v>
      </c>
      <c r="B886">
        <v>722</v>
      </c>
      <c r="C886" s="1">
        <v>130118</v>
      </c>
      <c r="D886" s="1">
        <v>130118</v>
      </c>
    </row>
    <row r="887" spans="1:4">
      <c r="A887" t="s">
        <v>959</v>
      </c>
      <c r="B887">
        <v>723</v>
      </c>
      <c r="C887" s="1">
        <v>131107</v>
      </c>
      <c r="D887" s="1">
        <v>131107</v>
      </c>
    </row>
    <row r="888" spans="1:4">
      <c r="A888" t="s">
        <v>960</v>
      </c>
      <c r="B888">
        <v>724</v>
      </c>
      <c r="C888" s="1">
        <v>129609</v>
      </c>
      <c r="D888" s="1">
        <v>129609</v>
      </c>
    </row>
    <row r="889" spans="1:4">
      <c r="A889" t="s">
        <v>961</v>
      </c>
      <c r="B889">
        <v>725</v>
      </c>
      <c r="C889" s="1">
        <v>131128</v>
      </c>
      <c r="D889" s="1">
        <v>131128</v>
      </c>
    </row>
    <row r="890" spans="1:4">
      <c r="A890" t="s">
        <v>962</v>
      </c>
      <c r="B890">
        <v>726</v>
      </c>
      <c r="C890" s="1">
        <v>129613</v>
      </c>
      <c r="D890" s="1">
        <v>129613</v>
      </c>
    </row>
    <row r="891" spans="1:4">
      <c r="A891" t="s">
        <v>963</v>
      </c>
      <c r="B891">
        <v>727</v>
      </c>
      <c r="C891" s="1">
        <v>328633</v>
      </c>
      <c r="D891" s="1">
        <v>328633</v>
      </c>
    </row>
    <row r="892" spans="1:4">
      <c r="A892" t="s">
        <v>964</v>
      </c>
      <c r="B892">
        <v>728</v>
      </c>
      <c r="C892" s="1">
        <v>131136</v>
      </c>
      <c r="D892" s="1">
        <v>131136</v>
      </c>
    </row>
    <row r="893" spans="1:4">
      <c r="A893" t="s">
        <v>965</v>
      </c>
      <c r="B893">
        <v>729</v>
      </c>
      <c r="C893" s="1">
        <v>129625</v>
      </c>
      <c r="D893" s="1">
        <v>129625</v>
      </c>
    </row>
    <row r="894" spans="1:4">
      <c r="A894" t="s">
        <v>966</v>
      </c>
      <c r="B894">
        <v>73</v>
      </c>
      <c r="C894" s="1">
        <v>117702</v>
      </c>
      <c r="D894" s="1">
        <v>117702</v>
      </c>
    </row>
    <row r="895" spans="1:4">
      <c r="A895" t="s">
        <v>967</v>
      </c>
      <c r="B895">
        <v>730</v>
      </c>
      <c r="C895" s="1">
        <v>334825</v>
      </c>
      <c r="D895" s="1">
        <v>156433</v>
      </c>
    </row>
    <row r="896" spans="1:4">
      <c r="A896" t="s">
        <v>968</v>
      </c>
      <c r="B896">
        <v>731</v>
      </c>
      <c r="C896" s="1">
        <v>131183</v>
      </c>
      <c r="D896" s="1">
        <v>131183</v>
      </c>
    </row>
    <row r="897" spans="1:4">
      <c r="A897" t="s">
        <v>34</v>
      </c>
      <c r="B897">
        <v>732</v>
      </c>
      <c r="C897" s="1">
        <v>334828</v>
      </c>
      <c r="D897" s="1">
        <v>334828</v>
      </c>
    </row>
    <row r="898" spans="1:4">
      <c r="A898" t="s">
        <v>969</v>
      </c>
      <c r="B898">
        <v>733</v>
      </c>
      <c r="C898" s="1">
        <v>152392</v>
      </c>
      <c r="D898" s="1">
        <v>131153</v>
      </c>
    </row>
    <row r="899" spans="1:4">
      <c r="A899" t="s">
        <v>970</v>
      </c>
      <c r="B899">
        <v>734</v>
      </c>
      <c r="C899" s="1">
        <v>178212</v>
      </c>
      <c r="D899" s="1">
        <v>131116</v>
      </c>
    </row>
    <row r="900" spans="1:4">
      <c r="A900" t="s">
        <v>971</v>
      </c>
      <c r="B900">
        <v>735</v>
      </c>
      <c r="C900" s="1">
        <v>131141</v>
      </c>
      <c r="D900" s="1">
        <v>131141</v>
      </c>
    </row>
    <row r="901" spans="1:4">
      <c r="A901" t="s">
        <v>972</v>
      </c>
      <c r="B901">
        <v>736</v>
      </c>
      <c r="C901" s="1">
        <v>155165</v>
      </c>
      <c r="D901" s="1">
        <v>131117</v>
      </c>
    </row>
    <row r="902" spans="1:4">
      <c r="A902" t="s">
        <v>973</v>
      </c>
      <c r="B902">
        <v>737</v>
      </c>
      <c r="C902" s="1">
        <v>330917</v>
      </c>
      <c r="D902" s="1">
        <v>131118</v>
      </c>
    </row>
    <row r="903" spans="1:4">
      <c r="A903" t="s">
        <v>974</v>
      </c>
      <c r="B903">
        <v>738</v>
      </c>
      <c r="C903" s="1">
        <v>338192</v>
      </c>
      <c r="D903" s="1">
        <v>131121</v>
      </c>
    </row>
    <row r="904" spans="1:4">
      <c r="A904" t="s">
        <v>975</v>
      </c>
      <c r="B904">
        <v>739</v>
      </c>
      <c r="C904" s="1">
        <v>129619</v>
      </c>
      <c r="D904" s="1">
        <v>129619</v>
      </c>
    </row>
    <row r="905" spans="1:4">
      <c r="A905" t="s">
        <v>976</v>
      </c>
      <c r="B905">
        <v>74</v>
      </c>
      <c r="C905" s="1">
        <v>117703</v>
      </c>
      <c r="D905" s="1">
        <v>117702</v>
      </c>
    </row>
    <row r="906" spans="1:4">
      <c r="A906" t="s">
        <v>54</v>
      </c>
      <c r="B906">
        <v>740</v>
      </c>
      <c r="C906" s="1">
        <v>131170</v>
      </c>
      <c r="D906" s="1">
        <v>131170</v>
      </c>
    </row>
    <row r="907" spans="1:4">
      <c r="A907" t="s">
        <v>977</v>
      </c>
      <c r="B907">
        <v>741</v>
      </c>
      <c r="C907" s="1">
        <v>913</v>
      </c>
      <c r="D907" s="1">
        <v>913</v>
      </c>
    </row>
    <row r="908" spans="1:4">
      <c r="A908" t="s">
        <v>978</v>
      </c>
      <c r="B908">
        <v>742</v>
      </c>
      <c r="C908" s="1">
        <v>129851</v>
      </c>
      <c r="D908" s="1">
        <v>129851</v>
      </c>
    </row>
    <row r="909" spans="1:4">
      <c r="A909" t="s">
        <v>979</v>
      </c>
      <c r="B909">
        <v>743</v>
      </c>
      <c r="C909" s="1">
        <v>337398</v>
      </c>
      <c r="D909" s="1">
        <v>1548432</v>
      </c>
    </row>
    <row r="910" spans="1:4">
      <c r="A910" t="s">
        <v>980</v>
      </c>
      <c r="B910">
        <v>744</v>
      </c>
      <c r="C910" s="1">
        <v>154952</v>
      </c>
      <c r="D910" s="1">
        <v>130517</v>
      </c>
    </row>
    <row r="911" spans="1:4">
      <c r="A911" t="s">
        <v>981</v>
      </c>
      <c r="B911">
        <v>745</v>
      </c>
      <c r="C911" s="1">
        <v>130537</v>
      </c>
      <c r="D911" s="1">
        <v>130537</v>
      </c>
    </row>
    <row r="912" spans="1:4">
      <c r="A912" t="s">
        <v>982</v>
      </c>
      <c r="B912">
        <v>746</v>
      </c>
      <c r="C912" s="1">
        <v>155032</v>
      </c>
      <c r="D912" s="1">
        <v>525497</v>
      </c>
    </row>
    <row r="913" spans="1:4">
      <c r="A913" t="s">
        <v>983</v>
      </c>
      <c r="B913">
        <v>747</v>
      </c>
      <c r="C913" s="1">
        <v>157218</v>
      </c>
      <c r="D913" s="1">
        <v>157218</v>
      </c>
    </row>
    <row r="914" spans="1:4">
      <c r="A914" t="s">
        <v>984</v>
      </c>
      <c r="B914">
        <v>748</v>
      </c>
      <c r="C914" s="1">
        <v>129430</v>
      </c>
      <c r="D914" s="1">
        <v>129430</v>
      </c>
    </row>
    <row r="915" spans="1:4">
      <c r="A915" t="s">
        <v>985</v>
      </c>
      <c r="B915">
        <v>749</v>
      </c>
      <c r="C915" s="1">
        <v>326624</v>
      </c>
      <c r="D915" s="1">
        <v>734532</v>
      </c>
    </row>
    <row r="916" spans="1:4">
      <c r="A916" t="s">
        <v>986</v>
      </c>
      <c r="B916">
        <v>75</v>
      </c>
      <c r="C916" s="1">
        <v>117704</v>
      </c>
      <c r="D916" s="1">
        <v>117704</v>
      </c>
    </row>
    <row r="917" spans="1:4">
      <c r="A917" t="s">
        <v>987</v>
      </c>
      <c r="B917">
        <v>750</v>
      </c>
      <c r="C917" s="1">
        <v>154922</v>
      </c>
      <c r="D917" s="1">
        <v>130585</v>
      </c>
    </row>
    <row r="918" spans="1:4">
      <c r="A918" t="s">
        <v>988</v>
      </c>
      <c r="B918">
        <v>751</v>
      </c>
      <c r="C918" s="1">
        <v>129955</v>
      </c>
      <c r="D918" s="1">
        <v>129955</v>
      </c>
    </row>
    <row r="919" spans="1:4">
      <c r="A919" t="s">
        <v>989</v>
      </c>
      <c r="B919">
        <v>752</v>
      </c>
      <c r="C919" s="1">
        <v>919</v>
      </c>
      <c r="D919" s="1">
        <v>919</v>
      </c>
    </row>
    <row r="920" spans="1:4">
      <c r="A920" t="s">
        <v>990</v>
      </c>
      <c r="B920">
        <v>753</v>
      </c>
      <c r="C920" s="1">
        <v>129959</v>
      </c>
      <c r="D920" s="1">
        <v>129959</v>
      </c>
    </row>
    <row r="921" spans="1:4">
      <c r="A921" t="s">
        <v>991</v>
      </c>
      <c r="B921">
        <v>754</v>
      </c>
      <c r="C921" s="1">
        <v>129984</v>
      </c>
      <c r="D921" s="1">
        <v>129984</v>
      </c>
    </row>
    <row r="922" spans="1:4">
      <c r="A922" t="s">
        <v>992</v>
      </c>
      <c r="B922">
        <v>755</v>
      </c>
      <c r="C922" s="1">
        <v>129967</v>
      </c>
      <c r="D922" s="1">
        <v>129967</v>
      </c>
    </row>
    <row r="923" spans="1:4">
      <c r="A923" t="s">
        <v>993</v>
      </c>
      <c r="B923">
        <v>756</v>
      </c>
      <c r="C923" s="1">
        <v>155177</v>
      </c>
      <c r="D923" s="1">
        <v>129938</v>
      </c>
    </row>
    <row r="924" spans="1:4">
      <c r="A924" t="s">
        <v>994</v>
      </c>
      <c r="B924">
        <v>757</v>
      </c>
      <c r="C924" s="1">
        <v>129646</v>
      </c>
      <c r="D924" s="1">
        <v>129659</v>
      </c>
    </row>
    <row r="925" spans="1:4">
      <c r="A925" t="s">
        <v>995</v>
      </c>
      <c r="B925">
        <v>758</v>
      </c>
      <c r="C925" s="1">
        <v>131266</v>
      </c>
      <c r="D925" s="1">
        <v>131366</v>
      </c>
    </row>
    <row r="926" spans="1:4">
      <c r="A926" t="s">
        <v>996</v>
      </c>
      <c r="B926">
        <v>759</v>
      </c>
      <c r="C926" s="1">
        <v>131267</v>
      </c>
      <c r="D926" s="1">
        <v>238200</v>
      </c>
    </row>
    <row r="927" spans="1:4">
      <c r="A927" t="s">
        <v>997</v>
      </c>
      <c r="B927">
        <v>76</v>
      </c>
      <c r="C927" s="1">
        <v>117705</v>
      </c>
      <c r="D927" s="1">
        <v>117702</v>
      </c>
    </row>
    <row r="928" spans="1:4">
      <c r="A928" t="s">
        <v>998</v>
      </c>
      <c r="B928">
        <v>760</v>
      </c>
      <c r="C928" s="1">
        <v>131278</v>
      </c>
      <c r="D928" s="1">
        <v>238180</v>
      </c>
    </row>
    <row r="929" spans="1:4">
      <c r="A929" t="s">
        <v>999</v>
      </c>
      <c r="B929">
        <v>761</v>
      </c>
      <c r="C929" s="1">
        <v>131290</v>
      </c>
      <c r="D929" s="1">
        <v>131290</v>
      </c>
    </row>
    <row r="930" spans="1:4">
      <c r="A930" t="s">
        <v>1000</v>
      </c>
      <c r="B930">
        <v>762</v>
      </c>
      <c r="C930" s="1">
        <v>131292</v>
      </c>
      <c r="D930" s="1">
        <v>131292</v>
      </c>
    </row>
    <row r="931" spans="1:4">
      <c r="A931" t="s">
        <v>1001</v>
      </c>
      <c r="B931">
        <v>763</v>
      </c>
      <c r="C931" s="1">
        <v>131293</v>
      </c>
      <c r="D931" s="1">
        <v>131290</v>
      </c>
    </row>
    <row r="932" spans="1:4">
      <c r="A932" t="s">
        <v>1002</v>
      </c>
      <c r="B932">
        <v>764</v>
      </c>
      <c r="C932" s="1">
        <v>129653</v>
      </c>
      <c r="D932" s="1">
        <v>129653</v>
      </c>
    </row>
    <row r="933" spans="1:4">
      <c r="A933" t="s">
        <v>1003</v>
      </c>
      <c r="B933">
        <v>765</v>
      </c>
      <c r="C933" s="1">
        <v>129654</v>
      </c>
      <c r="D933" s="1">
        <v>129654</v>
      </c>
    </row>
    <row r="934" spans="1:4">
      <c r="A934" t="s">
        <v>1004</v>
      </c>
      <c r="B934">
        <v>766</v>
      </c>
      <c r="C934" s="1">
        <v>131244</v>
      </c>
      <c r="D934" s="1">
        <v>131244</v>
      </c>
    </row>
    <row r="935" spans="1:4">
      <c r="A935" t="s">
        <v>1005</v>
      </c>
      <c r="B935">
        <v>767</v>
      </c>
      <c r="C935" s="1">
        <v>155450</v>
      </c>
      <c r="D935" s="1">
        <v>1258721</v>
      </c>
    </row>
    <row r="936" spans="1:4">
      <c r="A936" t="s">
        <v>1006</v>
      </c>
      <c r="B936">
        <v>768</v>
      </c>
      <c r="C936" s="1">
        <v>131384</v>
      </c>
      <c r="D936" s="1">
        <v>195953</v>
      </c>
    </row>
    <row r="937" spans="1:4">
      <c r="A937" t="s">
        <v>1007</v>
      </c>
      <c r="B937">
        <v>769</v>
      </c>
      <c r="C937" s="1">
        <v>948</v>
      </c>
      <c r="D937" s="1">
        <v>948</v>
      </c>
    </row>
    <row r="938" spans="1:4">
      <c r="A938" t="s">
        <v>1008</v>
      </c>
      <c r="B938">
        <v>77</v>
      </c>
      <c r="C938" s="1">
        <v>117136</v>
      </c>
      <c r="D938" s="1">
        <v>117136</v>
      </c>
    </row>
    <row r="939" spans="1:4">
      <c r="A939" t="s">
        <v>1009</v>
      </c>
      <c r="B939">
        <v>770</v>
      </c>
      <c r="C939" s="1">
        <v>239378</v>
      </c>
      <c r="D939" s="1">
        <v>131411</v>
      </c>
    </row>
    <row r="940" spans="1:4">
      <c r="A940" t="s">
        <v>1010</v>
      </c>
      <c r="B940">
        <v>771</v>
      </c>
      <c r="C940" s="1">
        <v>131415</v>
      </c>
      <c r="D940" s="1">
        <v>131415</v>
      </c>
    </row>
    <row r="941" spans="1:4">
      <c r="A941" t="s">
        <v>1011</v>
      </c>
      <c r="B941">
        <v>772</v>
      </c>
      <c r="C941" s="1">
        <v>131429</v>
      </c>
      <c r="D941" s="1">
        <v>131429</v>
      </c>
    </row>
    <row r="942" spans="1:4">
      <c r="A942" t="s">
        <v>1012</v>
      </c>
      <c r="B942">
        <v>773</v>
      </c>
      <c r="C942" s="1">
        <v>238254</v>
      </c>
      <c r="D942" s="1">
        <v>155116</v>
      </c>
    </row>
    <row r="943" spans="1:4">
      <c r="A943" t="s">
        <v>1013</v>
      </c>
      <c r="B943">
        <v>774</v>
      </c>
      <c r="C943" s="1">
        <v>131449</v>
      </c>
      <c r="D943" s="1">
        <v>131449</v>
      </c>
    </row>
    <row r="944" spans="1:4">
      <c r="A944" t="s">
        <v>1014</v>
      </c>
      <c r="B944">
        <v>775</v>
      </c>
      <c r="C944" s="1">
        <v>129680</v>
      </c>
      <c r="D944" s="1">
        <v>129680</v>
      </c>
    </row>
    <row r="945" spans="1:4">
      <c r="A945" t="s">
        <v>1015</v>
      </c>
      <c r="B945">
        <v>776</v>
      </c>
      <c r="C945" s="1">
        <v>155012</v>
      </c>
      <c r="D945" s="1">
        <v>131100</v>
      </c>
    </row>
    <row r="946" spans="1:4">
      <c r="A946" t="s">
        <v>1016</v>
      </c>
      <c r="B946">
        <v>777</v>
      </c>
      <c r="C946" s="1">
        <v>155447</v>
      </c>
      <c r="D946" s="1">
        <v>155127</v>
      </c>
    </row>
    <row r="947" spans="1:4">
      <c r="A947" t="s">
        <v>1017</v>
      </c>
      <c r="B947">
        <v>778</v>
      </c>
      <c r="C947" s="1">
        <v>130174</v>
      </c>
      <c r="D947" s="1">
        <v>130174</v>
      </c>
    </row>
    <row r="948" spans="1:4">
      <c r="A948" t="s">
        <v>1018</v>
      </c>
      <c r="B948">
        <v>779</v>
      </c>
      <c r="C948" s="1">
        <v>130185</v>
      </c>
      <c r="D948" s="1">
        <v>130185</v>
      </c>
    </row>
    <row r="949" spans="1:4">
      <c r="A949" t="s">
        <v>1019</v>
      </c>
      <c r="B949">
        <v>78</v>
      </c>
      <c r="C949" s="1">
        <v>157947</v>
      </c>
      <c r="D949" s="1">
        <v>157947</v>
      </c>
    </row>
    <row r="950" spans="1:4">
      <c r="A950" t="s">
        <v>1020</v>
      </c>
      <c r="B950">
        <v>780</v>
      </c>
      <c r="C950" s="1">
        <v>340526</v>
      </c>
      <c r="D950" s="1">
        <v>130356</v>
      </c>
    </row>
    <row r="951" spans="1:4">
      <c r="A951" t="s">
        <v>1021</v>
      </c>
      <c r="B951">
        <v>781</v>
      </c>
      <c r="C951" s="1">
        <v>130355</v>
      </c>
      <c r="D951" s="1">
        <v>130355</v>
      </c>
    </row>
    <row r="952" spans="1:4">
      <c r="A952" t="s">
        <v>1022</v>
      </c>
      <c r="B952">
        <v>782</v>
      </c>
      <c r="C952" s="1">
        <v>130364</v>
      </c>
      <c r="D952" s="1">
        <v>130364</v>
      </c>
    </row>
    <row r="953" spans="1:4">
      <c r="A953" t="s">
        <v>1023</v>
      </c>
      <c r="B953">
        <v>783</v>
      </c>
      <c r="C953" s="1">
        <v>340530</v>
      </c>
      <c r="D953" s="1">
        <v>130344</v>
      </c>
    </row>
    <row r="954" spans="1:4">
      <c r="A954" t="s">
        <v>38</v>
      </c>
      <c r="B954">
        <v>784</v>
      </c>
      <c r="C954" s="1">
        <v>337222</v>
      </c>
      <c r="D954" s="1">
        <v>130348</v>
      </c>
    </row>
    <row r="955" spans="1:4">
      <c r="A955" t="s">
        <v>1024</v>
      </c>
      <c r="B955">
        <v>785</v>
      </c>
      <c r="C955" s="1">
        <v>337231</v>
      </c>
      <c r="D955" s="1">
        <v>130365</v>
      </c>
    </row>
    <row r="956" spans="1:4">
      <c r="A956" t="s">
        <v>1025</v>
      </c>
      <c r="B956">
        <v>786</v>
      </c>
      <c r="C956" s="1">
        <v>324842</v>
      </c>
      <c r="D956" s="1">
        <v>129370</v>
      </c>
    </row>
    <row r="957" spans="1:4">
      <c r="A957" t="s">
        <v>1026</v>
      </c>
      <c r="B957">
        <v>787</v>
      </c>
      <c r="C957" s="1">
        <v>130404</v>
      </c>
      <c r="D957" s="1">
        <v>130404</v>
      </c>
    </row>
    <row r="958" spans="1:4">
      <c r="A958" t="s">
        <v>1027</v>
      </c>
      <c r="B958">
        <v>788</v>
      </c>
      <c r="C958" s="1">
        <v>129379</v>
      </c>
      <c r="D958" s="1">
        <v>129379</v>
      </c>
    </row>
    <row r="959" spans="1:4">
      <c r="A959" t="s">
        <v>75</v>
      </c>
      <c r="B959">
        <v>789</v>
      </c>
      <c r="C959" s="1">
        <v>234851</v>
      </c>
      <c r="D959" s="1">
        <v>234851</v>
      </c>
    </row>
    <row r="960" spans="1:4">
      <c r="A960" t="s">
        <v>1028</v>
      </c>
      <c r="B960">
        <v>79</v>
      </c>
      <c r="C960" s="1">
        <v>117586</v>
      </c>
      <c r="D960" s="1">
        <v>117586</v>
      </c>
    </row>
    <row r="961" spans="1:4">
      <c r="A961" t="s">
        <v>1029</v>
      </c>
      <c r="B961">
        <v>790</v>
      </c>
      <c r="C961" s="1">
        <v>130878</v>
      </c>
      <c r="D961" s="1">
        <v>130878</v>
      </c>
    </row>
    <row r="962" spans="1:4">
      <c r="A962" t="s">
        <v>1030</v>
      </c>
      <c r="B962">
        <v>791</v>
      </c>
      <c r="C962" s="1">
        <v>130888</v>
      </c>
      <c r="D962" s="1">
        <v>130888</v>
      </c>
    </row>
    <row r="963" spans="1:4">
      <c r="A963" t="s">
        <v>1031</v>
      </c>
      <c r="B963">
        <v>792</v>
      </c>
      <c r="C963" s="1">
        <v>130891</v>
      </c>
      <c r="D963" s="1">
        <v>130891</v>
      </c>
    </row>
    <row r="964" spans="1:4">
      <c r="A964" t="s">
        <v>1032</v>
      </c>
      <c r="B964">
        <v>793</v>
      </c>
      <c r="C964" s="1">
        <v>129525</v>
      </c>
      <c r="D964" s="1">
        <v>129525</v>
      </c>
    </row>
    <row r="965" spans="1:4">
      <c r="A965" t="s">
        <v>1033</v>
      </c>
      <c r="B965">
        <v>794</v>
      </c>
      <c r="C965" s="1">
        <v>558450</v>
      </c>
      <c r="D965" s="1">
        <v>130880</v>
      </c>
    </row>
    <row r="966" spans="1:4">
      <c r="A966" t="s">
        <v>1034</v>
      </c>
      <c r="B966">
        <v>795</v>
      </c>
      <c r="C966" s="1">
        <v>130903</v>
      </c>
      <c r="D966" s="1">
        <v>130903</v>
      </c>
    </row>
    <row r="967" spans="1:4">
      <c r="A967" t="s">
        <v>1035</v>
      </c>
      <c r="B967">
        <v>796</v>
      </c>
      <c r="C967" s="1">
        <v>129528</v>
      </c>
      <c r="D967" s="1">
        <v>129528</v>
      </c>
    </row>
    <row r="968" spans="1:4">
      <c r="A968" t="s">
        <v>1036</v>
      </c>
      <c r="B968">
        <v>797</v>
      </c>
      <c r="C968" s="1">
        <v>130911</v>
      </c>
      <c r="D968" s="1">
        <v>130913</v>
      </c>
    </row>
    <row r="969" spans="1:4">
      <c r="A969" t="s">
        <v>1037</v>
      </c>
      <c r="B969">
        <v>798</v>
      </c>
      <c r="C969" s="1">
        <v>985</v>
      </c>
      <c r="D969" s="1">
        <v>985</v>
      </c>
    </row>
    <row r="970" spans="1:4">
      <c r="A970" t="s">
        <v>1037</v>
      </c>
      <c r="B970">
        <v>799</v>
      </c>
      <c r="C970" s="1">
        <v>985</v>
      </c>
      <c r="D970" s="1">
        <v>985</v>
      </c>
    </row>
    <row r="971" spans="1:4">
      <c r="A971" t="s">
        <v>1038</v>
      </c>
      <c r="B971">
        <v>8</v>
      </c>
      <c r="C971" s="1">
        <v>174574</v>
      </c>
      <c r="D971" s="1">
        <v>174574</v>
      </c>
    </row>
    <row r="972" spans="1:4">
      <c r="A972" t="s">
        <v>1039</v>
      </c>
      <c r="B972">
        <v>80</v>
      </c>
      <c r="C972" s="1">
        <v>117589</v>
      </c>
      <c r="D972" s="1">
        <v>117589</v>
      </c>
    </row>
    <row r="973" spans="1:4">
      <c r="A973" t="s">
        <v>1040</v>
      </c>
      <c r="B973">
        <v>800</v>
      </c>
      <c r="C973" s="1">
        <v>254745</v>
      </c>
      <c r="D973" s="1">
        <v>254745</v>
      </c>
    </row>
    <row r="974" spans="1:4">
      <c r="A974" t="s">
        <v>1041</v>
      </c>
      <c r="B974">
        <v>801</v>
      </c>
      <c r="C974" s="1">
        <v>129535</v>
      </c>
      <c r="D974" s="1">
        <v>129535</v>
      </c>
    </row>
    <row r="975" spans="1:4">
      <c r="A975" t="s">
        <v>1042</v>
      </c>
      <c r="B975">
        <v>802</v>
      </c>
      <c r="C975" s="1">
        <v>130954</v>
      </c>
      <c r="D975" s="1">
        <v>130954</v>
      </c>
    </row>
    <row r="976" spans="1:4">
      <c r="A976" t="s">
        <v>1043</v>
      </c>
      <c r="B976">
        <v>803</v>
      </c>
      <c r="C976" s="1">
        <v>155389</v>
      </c>
      <c r="D976" s="1">
        <v>130963</v>
      </c>
    </row>
    <row r="977" spans="1:4">
      <c r="A977" t="s">
        <v>1044</v>
      </c>
      <c r="B977">
        <v>804</v>
      </c>
      <c r="C977" s="1">
        <v>341272</v>
      </c>
      <c r="D977" s="1">
        <v>130872</v>
      </c>
    </row>
    <row r="978" spans="1:4">
      <c r="A978" t="s">
        <v>1045</v>
      </c>
      <c r="B978">
        <v>805</v>
      </c>
      <c r="C978" s="1">
        <v>326707</v>
      </c>
      <c r="D978" s="1">
        <v>130986</v>
      </c>
    </row>
    <row r="979" spans="1:4">
      <c r="A979" t="s">
        <v>1046</v>
      </c>
      <c r="B979">
        <v>806</v>
      </c>
      <c r="C979" s="1">
        <v>131201</v>
      </c>
      <c r="D979" s="1">
        <v>131201</v>
      </c>
    </row>
    <row r="980" spans="1:4">
      <c r="A980" t="s">
        <v>1047</v>
      </c>
      <c r="B980">
        <v>807</v>
      </c>
      <c r="C980" s="1">
        <v>129637</v>
      </c>
      <c r="D980" s="1">
        <v>129637</v>
      </c>
    </row>
    <row r="981" spans="1:4">
      <c r="A981" t="s">
        <v>1048</v>
      </c>
      <c r="B981">
        <v>808</v>
      </c>
      <c r="C981" s="1">
        <v>129637</v>
      </c>
      <c r="D981" s="1">
        <v>129637</v>
      </c>
    </row>
    <row r="982" spans="1:4">
      <c r="A982" t="s">
        <v>1049</v>
      </c>
      <c r="B982">
        <v>809</v>
      </c>
      <c r="C982" s="1">
        <v>131214</v>
      </c>
      <c r="D982" s="1">
        <v>334340</v>
      </c>
    </row>
    <row r="983" spans="1:4">
      <c r="A983" t="s">
        <v>1050</v>
      </c>
      <c r="B983">
        <v>81</v>
      </c>
      <c r="C983" s="1">
        <v>117591</v>
      </c>
      <c r="D983" s="1">
        <v>117591</v>
      </c>
    </row>
    <row r="984" spans="1:4">
      <c r="A984" t="s">
        <v>1051</v>
      </c>
      <c r="B984">
        <v>810</v>
      </c>
      <c r="C984" s="1">
        <v>131215</v>
      </c>
      <c r="D984" s="1">
        <v>334339</v>
      </c>
    </row>
    <row r="985" spans="1:4">
      <c r="A985" t="s">
        <v>1052</v>
      </c>
      <c r="B985">
        <v>811</v>
      </c>
      <c r="C985" s="1">
        <v>155160</v>
      </c>
      <c r="D985" s="1">
        <v>334341</v>
      </c>
    </row>
    <row r="986" spans="1:4">
      <c r="A986" t="s">
        <v>1053</v>
      </c>
      <c r="B986">
        <v>812</v>
      </c>
      <c r="C986" s="1">
        <v>988</v>
      </c>
      <c r="D986" s="1">
        <v>988</v>
      </c>
    </row>
    <row r="987" spans="1:4">
      <c r="A987" t="s">
        <v>1054</v>
      </c>
      <c r="B987">
        <v>813</v>
      </c>
      <c r="C987" s="1">
        <v>131198</v>
      </c>
      <c r="D987" s="1">
        <v>131198</v>
      </c>
    </row>
    <row r="988" spans="1:4">
      <c r="A988" t="s">
        <v>1055</v>
      </c>
      <c r="B988">
        <v>814</v>
      </c>
      <c r="C988" s="1">
        <v>129642</v>
      </c>
      <c r="D988" s="1">
        <v>129642</v>
      </c>
    </row>
    <row r="989" spans="1:4">
      <c r="A989" t="s">
        <v>1056</v>
      </c>
      <c r="B989">
        <v>815</v>
      </c>
      <c r="C989" s="1">
        <v>131237</v>
      </c>
      <c r="D989" s="1">
        <v>334842</v>
      </c>
    </row>
    <row r="990" spans="1:4">
      <c r="A990" t="s">
        <v>1057</v>
      </c>
      <c r="B990">
        <v>816</v>
      </c>
      <c r="C990" s="1">
        <v>130006</v>
      </c>
      <c r="D990" s="1">
        <v>130006</v>
      </c>
    </row>
    <row r="991" spans="1:4">
      <c r="A991" t="s">
        <v>1058</v>
      </c>
      <c r="B991">
        <v>817</v>
      </c>
      <c r="C991" s="1">
        <v>156316</v>
      </c>
      <c r="D991" s="1">
        <v>330349</v>
      </c>
    </row>
    <row r="992" spans="1:4">
      <c r="A992" t="s">
        <v>1059</v>
      </c>
      <c r="B992">
        <v>818</v>
      </c>
      <c r="C992" s="1">
        <v>129639</v>
      </c>
      <c r="D992" s="1">
        <v>129639</v>
      </c>
    </row>
    <row r="993" spans="1:4">
      <c r="A993" t="s">
        <v>39</v>
      </c>
      <c r="B993">
        <v>819</v>
      </c>
      <c r="C993" s="1">
        <v>883</v>
      </c>
      <c r="D993" s="1">
        <v>883</v>
      </c>
    </row>
    <row r="994" spans="1:4">
      <c r="A994" t="s">
        <v>1060</v>
      </c>
      <c r="B994">
        <v>82</v>
      </c>
      <c r="C994" s="1">
        <v>284751</v>
      </c>
      <c r="D994" s="1">
        <v>284751</v>
      </c>
    </row>
    <row r="995" spans="1:4">
      <c r="A995" t="s">
        <v>1061</v>
      </c>
      <c r="B995">
        <v>820</v>
      </c>
      <c r="C995" s="1">
        <v>130043</v>
      </c>
      <c r="D995" s="1">
        <v>130036</v>
      </c>
    </row>
    <row r="996" spans="1:4">
      <c r="A996" t="s">
        <v>1062</v>
      </c>
      <c r="B996">
        <v>821</v>
      </c>
      <c r="C996" s="1">
        <v>762196</v>
      </c>
      <c r="D996" s="1">
        <v>130578</v>
      </c>
    </row>
    <row r="997" spans="1:4">
      <c r="A997" t="s">
        <v>1063</v>
      </c>
      <c r="B997">
        <v>822</v>
      </c>
      <c r="C997" s="1">
        <v>129278</v>
      </c>
      <c r="D997" s="1">
        <v>129278</v>
      </c>
    </row>
    <row r="998" spans="1:4">
      <c r="A998" t="s">
        <v>1064</v>
      </c>
      <c r="B998">
        <v>823</v>
      </c>
      <c r="C998" s="1">
        <v>966</v>
      </c>
      <c r="D998" s="1">
        <v>966</v>
      </c>
    </row>
    <row r="999" spans="1:4">
      <c r="A999" t="s">
        <v>1065</v>
      </c>
      <c r="B999">
        <v>824</v>
      </c>
      <c r="C999" s="1">
        <v>152285</v>
      </c>
      <c r="D999" s="1">
        <v>130261</v>
      </c>
    </row>
    <row r="1000" spans="1:4">
      <c r="A1000" t="s">
        <v>1066</v>
      </c>
      <c r="B1000">
        <v>825</v>
      </c>
      <c r="C1000" s="1">
        <v>130026</v>
      </c>
      <c r="D1000" s="1">
        <v>130026</v>
      </c>
    </row>
    <row r="1001" spans="1:4">
      <c r="A1001" t="s">
        <v>42</v>
      </c>
      <c r="B1001">
        <v>826</v>
      </c>
      <c r="C1001" s="1">
        <v>1070860</v>
      </c>
      <c r="D1001" s="1">
        <v>137553</v>
      </c>
    </row>
    <row r="1002" spans="1:4">
      <c r="A1002" t="s">
        <v>1067</v>
      </c>
      <c r="B1002">
        <v>827</v>
      </c>
      <c r="C1002" s="1">
        <v>137388</v>
      </c>
      <c r="D1002" s="1">
        <v>137388</v>
      </c>
    </row>
    <row r="1003" spans="1:4">
      <c r="A1003" t="s">
        <v>41</v>
      </c>
      <c r="B1003">
        <v>828</v>
      </c>
      <c r="C1003" s="1">
        <v>154887</v>
      </c>
      <c r="D1003" s="1">
        <v>743898</v>
      </c>
    </row>
    <row r="1004" spans="1:4">
      <c r="A1004" t="s">
        <v>40</v>
      </c>
      <c r="B1004">
        <v>829</v>
      </c>
      <c r="C1004" s="1">
        <v>152350</v>
      </c>
      <c r="D1004" s="1">
        <v>137571</v>
      </c>
    </row>
    <row r="1005" spans="1:4">
      <c r="A1005" t="s">
        <v>1068</v>
      </c>
      <c r="B1005">
        <v>83</v>
      </c>
      <c r="C1005" s="1">
        <v>284753</v>
      </c>
      <c r="D1005" s="1">
        <v>284753</v>
      </c>
    </row>
    <row r="1006" spans="1:4">
      <c r="A1006" t="s">
        <v>64</v>
      </c>
      <c r="B1006">
        <v>830</v>
      </c>
      <c r="C1006" s="1">
        <v>2038</v>
      </c>
      <c r="D1006" s="1">
        <v>2038</v>
      </c>
    </row>
    <row r="1007" spans="1:4">
      <c r="A1007" t="s">
        <v>1069</v>
      </c>
      <c r="B1007">
        <v>831</v>
      </c>
      <c r="C1007" s="1">
        <v>137351</v>
      </c>
      <c r="D1007" s="1">
        <v>137351</v>
      </c>
    </row>
    <row r="1008" spans="1:4">
      <c r="A1008" t="s">
        <v>1070</v>
      </c>
      <c r="B1008">
        <v>832</v>
      </c>
      <c r="C1008" s="1">
        <v>2036</v>
      </c>
      <c r="D1008" s="1">
        <v>2036</v>
      </c>
    </row>
    <row r="1009" spans="1:4">
      <c r="A1009" t="s">
        <v>71</v>
      </c>
      <c r="B1009">
        <v>833</v>
      </c>
      <c r="C1009" s="1">
        <v>137485</v>
      </c>
      <c r="D1009" s="1">
        <v>137485</v>
      </c>
    </row>
    <row r="1010" spans="1:4">
      <c r="A1010" t="s">
        <v>1071</v>
      </c>
      <c r="B1010">
        <v>834</v>
      </c>
      <c r="C1010" s="1">
        <v>2041</v>
      </c>
      <c r="D1010" s="1">
        <v>2041</v>
      </c>
    </row>
    <row r="1011" spans="1:4">
      <c r="A1011" t="s">
        <v>1072</v>
      </c>
      <c r="B1011">
        <v>835</v>
      </c>
      <c r="C1011" s="1">
        <v>883</v>
      </c>
      <c r="D1011" s="1">
        <v>883</v>
      </c>
    </row>
    <row r="1012" spans="1:4">
      <c r="A1012" t="s">
        <v>1073</v>
      </c>
      <c r="B1012">
        <v>836</v>
      </c>
      <c r="C1012" s="1">
        <v>125100</v>
      </c>
      <c r="D1012" s="1">
        <v>125100</v>
      </c>
    </row>
    <row r="1013" spans="1:4">
      <c r="A1013" t="s">
        <v>1074</v>
      </c>
      <c r="B1013">
        <v>837</v>
      </c>
      <c r="C1013" s="1">
        <v>124966</v>
      </c>
      <c r="D1013" s="1">
        <v>124966</v>
      </c>
    </row>
    <row r="1014" spans="1:4">
      <c r="A1014" t="s">
        <v>1075</v>
      </c>
      <c r="B1014">
        <v>838</v>
      </c>
      <c r="C1014" s="1">
        <v>124978</v>
      </c>
      <c r="D1014" s="1">
        <v>124978</v>
      </c>
    </row>
    <row r="1015" spans="1:4">
      <c r="A1015" t="s">
        <v>1076</v>
      </c>
      <c r="B1015">
        <v>839</v>
      </c>
      <c r="C1015" s="1">
        <v>125125</v>
      </c>
      <c r="D1015" s="1">
        <v>125125</v>
      </c>
    </row>
    <row r="1016" spans="1:4">
      <c r="A1016" t="s">
        <v>1077</v>
      </c>
      <c r="B1016">
        <v>84</v>
      </c>
      <c r="C1016" s="1">
        <v>117597</v>
      </c>
      <c r="D1016" s="1">
        <v>117597</v>
      </c>
    </row>
    <row r="1017" spans="1:4">
      <c r="A1017" t="s">
        <v>1078</v>
      </c>
      <c r="B1017">
        <v>840</v>
      </c>
      <c r="C1017" s="1">
        <v>124933</v>
      </c>
      <c r="D1017" s="1">
        <v>124933</v>
      </c>
    </row>
    <row r="1018" spans="1:4">
      <c r="A1018" t="s">
        <v>1079</v>
      </c>
      <c r="B1018">
        <v>841</v>
      </c>
      <c r="C1018" s="1">
        <v>245736</v>
      </c>
      <c r="D1018" s="1">
        <v>124934</v>
      </c>
    </row>
    <row r="1019" spans="1:4">
      <c r="A1019" t="s">
        <v>1080</v>
      </c>
      <c r="B1019">
        <v>842</v>
      </c>
      <c r="C1019" s="1">
        <v>124943</v>
      </c>
      <c r="D1019" s="1">
        <v>124943</v>
      </c>
    </row>
    <row r="1020" spans="1:4">
      <c r="A1020" t="s">
        <v>1081</v>
      </c>
      <c r="B1020">
        <v>843</v>
      </c>
      <c r="C1020" s="1">
        <v>123776</v>
      </c>
      <c r="D1020" s="1">
        <v>123776</v>
      </c>
    </row>
    <row r="1021" spans="1:4">
      <c r="A1021" t="s">
        <v>1082</v>
      </c>
      <c r="B1021">
        <v>844</v>
      </c>
      <c r="C1021" s="1">
        <v>123815</v>
      </c>
      <c r="D1021" s="1">
        <v>123815</v>
      </c>
    </row>
    <row r="1022" spans="1:4">
      <c r="A1022" t="s">
        <v>1083</v>
      </c>
      <c r="B1022">
        <v>845</v>
      </c>
      <c r="C1022" s="1">
        <v>123080</v>
      </c>
      <c r="D1022" s="1">
        <v>123080</v>
      </c>
    </row>
    <row r="1023" spans="1:4">
      <c r="A1023" t="s">
        <v>1084</v>
      </c>
      <c r="B1023">
        <v>846</v>
      </c>
      <c r="C1023" s="1">
        <v>124154</v>
      </c>
      <c r="D1023" s="1">
        <v>124154</v>
      </c>
    </row>
    <row r="1024" spans="1:4">
      <c r="A1024" t="s">
        <v>1085</v>
      </c>
      <c r="B1024">
        <v>847</v>
      </c>
      <c r="C1024" s="1">
        <v>124160</v>
      </c>
      <c r="D1024" s="1">
        <v>124160</v>
      </c>
    </row>
    <row r="1025" spans="1:4">
      <c r="A1025" t="s">
        <v>1086</v>
      </c>
      <c r="B1025">
        <v>848</v>
      </c>
      <c r="C1025" s="1">
        <v>123276</v>
      </c>
      <c r="D1025" s="1">
        <v>123276</v>
      </c>
    </row>
    <row r="1026" spans="1:4">
      <c r="A1026" t="s">
        <v>1087</v>
      </c>
      <c r="B1026">
        <v>849</v>
      </c>
      <c r="C1026" s="1">
        <v>124147</v>
      </c>
      <c r="D1026" s="1">
        <v>124147</v>
      </c>
    </row>
    <row r="1027" spans="1:4">
      <c r="A1027" t="s">
        <v>1088</v>
      </c>
      <c r="B1027">
        <v>85</v>
      </c>
      <c r="C1027" s="1">
        <v>117606</v>
      </c>
      <c r="D1027" s="1">
        <v>117606</v>
      </c>
    </row>
    <row r="1028" spans="1:4">
      <c r="A1028" t="s">
        <v>1089</v>
      </c>
      <c r="B1028">
        <v>850</v>
      </c>
      <c r="C1028" s="1">
        <v>124151</v>
      </c>
      <c r="D1028" s="1">
        <v>124151</v>
      </c>
    </row>
    <row r="1029" spans="1:4">
      <c r="A1029" t="s">
        <v>1090</v>
      </c>
      <c r="B1029">
        <v>851</v>
      </c>
      <c r="C1029" s="1">
        <v>125171</v>
      </c>
      <c r="D1029" s="1">
        <v>125171</v>
      </c>
    </row>
    <row r="1030" spans="1:4">
      <c r="A1030" t="s">
        <v>1091</v>
      </c>
      <c r="B1030">
        <v>852</v>
      </c>
      <c r="C1030" s="1">
        <v>423272</v>
      </c>
      <c r="D1030" s="1">
        <v>124434</v>
      </c>
    </row>
    <row r="1031" spans="1:4">
      <c r="A1031" t="s">
        <v>1092</v>
      </c>
      <c r="B1031">
        <v>853</v>
      </c>
      <c r="C1031" s="1">
        <v>124655</v>
      </c>
      <c r="D1031" s="1">
        <v>124655</v>
      </c>
    </row>
    <row r="1032" spans="1:4">
      <c r="A1032" t="s">
        <v>1093</v>
      </c>
      <c r="B1032">
        <v>854</v>
      </c>
      <c r="C1032" s="1">
        <v>124612</v>
      </c>
      <c r="D1032" s="1">
        <v>124612</v>
      </c>
    </row>
    <row r="1033" spans="1:4">
      <c r="A1033" t="s">
        <v>1094</v>
      </c>
      <c r="B1033">
        <v>855</v>
      </c>
      <c r="C1033" s="1">
        <v>123111</v>
      </c>
      <c r="D1033" s="1">
        <v>123111</v>
      </c>
    </row>
    <row r="1034" spans="1:4">
      <c r="A1034" t="s">
        <v>1095</v>
      </c>
      <c r="B1034">
        <v>856</v>
      </c>
      <c r="C1034" s="1">
        <v>124710</v>
      </c>
      <c r="D1034" s="1">
        <v>124710</v>
      </c>
    </row>
    <row r="1035" spans="1:4">
      <c r="A1035" t="s">
        <v>1096</v>
      </c>
      <c r="B1035">
        <v>857</v>
      </c>
      <c r="C1035" s="1">
        <v>124681</v>
      </c>
      <c r="D1035" s="1">
        <v>124681</v>
      </c>
    </row>
    <row r="1036" spans="1:4">
      <c r="A1036" t="s">
        <v>1097</v>
      </c>
      <c r="B1036">
        <v>858</v>
      </c>
      <c r="C1036" s="1">
        <v>124324</v>
      </c>
      <c r="D1036" s="1">
        <v>124324</v>
      </c>
    </row>
    <row r="1037" spans="1:4">
      <c r="A1037" t="s">
        <v>1098</v>
      </c>
      <c r="B1037">
        <v>859</v>
      </c>
      <c r="C1037" s="1">
        <v>132992</v>
      </c>
      <c r="D1037" s="1">
        <v>132992</v>
      </c>
    </row>
    <row r="1038" spans="1:4">
      <c r="A1038" t="s">
        <v>1099</v>
      </c>
      <c r="B1038">
        <v>86</v>
      </c>
      <c r="C1038" s="1">
        <v>157947</v>
      </c>
      <c r="D1038" s="1">
        <v>157947</v>
      </c>
    </row>
    <row r="1039" spans="1:4">
      <c r="A1039" t="s">
        <v>1100</v>
      </c>
      <c r="B1039">
        <v>860</v>
      </c>
      <c r="C1039" s="1">
        <v>133063</v>
      </c>
      <c r="D1039" s="1">
        <v>167614</v>
      </c>
    </row>
    <row r="1040" spans="1:4">
      <c r="A1040" t="s">
        <v>1101</v>
      </c>
      <c r="B1040">
        <v>861</v>
      </c>
      <c r="C1040" s="1">
        <v>133075</v>
      </c>
      <c r="D1040" s="1">
        <v>167648</v>
      </c>
    </row>
    <row r="1041" spans="1:4">
      <c r="A1041" t="s">
        <v>1102</v>
      </c>
      <c r="B1041">
        <v>862</v>
      </c>
      <c r="C1041" s="1">
        <v>233973</v>
      </c>
      <c r="D1041" s="1">
        <v>133694</v>
      </c>
    </row>
    <row r="1042" spans="1:4">
      <c r="A1042" t="s">
        <v>1103</v>
      </c>
      <c r="B1042">
        <v>863</v>
      </c>
      <c r="C1042" s="1">
        <v>133093</v>
      </c>
      <c r="D1042" s="1">
        <v>167848</v>
      </c>
    </row>
    <row r="1043" spans="1:4">
      <c r="A1043" t="s">
        <v>1104</v>
      </c>
      <c r="B1043">
        <v>864</v>
      </c>
      <c r="C1043" s="1">
        <v>133494</v>
      </c>
      <c r="D1043" s="1">
        <v>133494</v>
      </c>
    </row>
    <row r="1044" spans="1:4">
      <c r="A1044" t="s">
        <v>1105</v>
      </c>
      <c r="B1044">
        <v>865</v>
      </c>
      <c r="C1044" s="1">
        <v>191861</v>
      </c>
      <c r="D1044" s="1">
        <v>133586</v>
      </c>
    </row>
    <row r="1045" spans="1:4">
      <c r="A1045" t="s">
        <v>1106</v>
      </c>
      <c r="B1045">
        <v>866</v>
      </c>
      <c r="C1045" s="1">
        <v>191947</v>
      </c>
      <c r="D1045" s="1">
        <v>133597</v>
      </c>
    </row>
    <row r="1046" spans="1:4">
      <c r="A1046" t="s">
        <v>1107</v>
      </c>
      <c r="B1046">
        <v>867</v>
      </c>
      <c r="C1046" s="1">
        <v>191894</v>
      </c>
      <c r="D1046" s="1">
        <v>133614</v>
      </c>
    </row>
    <row r="1047" spans="1:4">
      <c r="A1047" t="s">
        <v>1108</v>
      </c>
      <c r="B1047">
        <v>868</v>
      </c>
      <c r="C1047" s="1">
        <v>133133</v>
      </c>
      <c r="D1047" s="1">
        <v>133133</v>
      </c>
    </row>
    <row r="1048" spans="1:4">
      <c r="A1048" t="s">
        <v>1109</v>
      </c>
      <c r="B1048">
        <v>869</v>
      </c>
      <c r="C1048" s="1">
        <v>133340</v>
      </c>
      <c r="D1048" s="1">
        <v>168918</v>
      </c>
    </row>
    <row r="1049" spans="1:4">
      <c r="A1049" t="s">
        <v>1110</v>
      </c>
      <c r="B1049">
        <v>87</v>
      </c>
      <c r="C1049" s="1">
        <v>133133</v>
      </c>
      <c r="D1049" s="1">
        <v>133133</v>
      </c>
    </row>
    <row r="1050" spans="1:4">
      <c r="A1050" t="s">
        <v>1111</v>
      </c>
      <c r="B1050">
        <v>870</v>
      </c>
      <c r="C1050" s="1">
        <v>570548</v>
      </c>
      <c r="D1050" s="1">
        <v>132972</v>
      </c>
    </row>
    <row r="1051" spans="1:4">
      <c r="A1051" t="s">
        <v>1112</v>
      </c>
      <c r="B1051">
        <v>871</v>
      </c>
      <c r="C1051" s="1">
        <v>133874</v>
      </c>
      <c r="D1051" s="1">
        <v>133874</v>
      </c>
    </row>
    <row r="1052" spans="1:4">
      <c r="A1052" t="s">
        <v>1113</v>
      </c>
      <c r="B1052">
        <v>872</v>
      </c>
      <c r="C1052" s="1">
        <v>133882</v>
      </c>
      <c r="D1052" s="1">
        <v>169466</v>
      </c>
    </row>
    <row r="1053" spans="1:4">
      <c r="A1053" t="s">
        <v>1114</v>
      </c>
      <c r="B1053">
        <v>873</v>
      </c>
      <c r="C1053" s="1">
        <v>133271</v>
      </c>
      <c r="D1053" s="1">
        <v>225702</v>
      </c>
    </row>
    <row r="1054" spans="1:4">
      <c r="A1054" t="s">
        <v>1115</v>
      </c>
      <c r="B1054">
        <v>874</v>
      </c>
      <c r="C1054" s="1">
        <v>236432</v>
      </c>
      <c r="D1054" s="1">
        <v>133247</v>
      </c>
    </row>
    <row r="1055" spans="1:4">
      <c r="A1055" t="s">
        <v>1116</v>
      </c>
      <c r="B1055">
        <v>875</v>
      </c>
      <c r="C1055" s="1">
        <v>156250</v>
      </c>
      <c r="D1055" s="1">
        <v>1424119</v>
      </c>
    </row>
    <row r="1056" spans="1:4">
      <c r="A1056" t="s">
        <v>1117</v>
      </c>
      <c r="B1056">
        <v>876</v>
      </c>
      <c r="C1056" s="1">
        <v>592897</v>
      </c>
      <c r="D1056" s="1">
        <v>592897</v>
      </c>
    </row>
    <row r="1057" spans="1:4">
      <c r="A1057" t="s">
        <v>1118</v>
      </c>
      <c r="B1057">
        <v>877</v>
      </c>
      <c r="C1057" s="1">
        <v>132324</v>
      </c>
      <c r="D1057" s="1">
        <v>132324</v>
      </c>
    </row>
    <row r="1058" spans="1:4">
      <c r="A1058" t="s">
        <v>1119</v>
      </c>
      <c r="B1058">
        <v>878</v>
      </c>
      <c r="C1058" s="1">
        <v>156100</v>
      </c>
      <c r="D1058" s="1">
        <v>132773</v>
      </c>
    </row>
    <row r="1059" spans="1:4">
      <c r="A1059" t="s">
        <v>1120</v>
      </c>
      <c r="B1059">
        <v>879</v>
      </c>
      <c r="C1059" s="1">
        <v>191290</v>
      </c>
      <c r="D1059" s="1">
        <v>132844</v>
      </c>
    </row>
    <row r="1060" spans="1:4">
      <c r="A1060" t="s">
        <v>1121</v>
      </c>
      <c r="B1060">
        <v>88</v>
      </c>
      <c r="C1060" s="1">
        <v>117773</v>
      </c>
      <c r="D1060" s="1">
        <v>117773</v>
      </c>
    </row>
    <row r="1061" spans="1:4">
      <c r="A1061" t="s">
        <v>1122</v>
      </c>
      <c r="B1061">
        <v>880</v>
      </c>
      <c r="C1061" s="1">
        <v>345571</v>
      </c>
      <c r="D1061" s="1">
        <v>132775</v>
      </c>
    </row>
    <row r="1062" spans="1:4">
      <c r="A1062" t="s">
        <v>1123</v>
      </c>
      <c r="B1062">
        <v>881</v>
      </c>
      <c r="C1062" s="1">
        <v>166605</v>
      </c>
      <c r="D1062" s="1">
        <v>166605</v>
      </c>
    </row>
    <row r="1063" spans="1:4">
      <c r="A1063" t="s">
        <v>1124</v>
      </c>
      <c r="B1063">
        <v>882</v>
      </c>
      <c r="C1063" s="1">
        <v>132804</v>
      </c>
      <c r="D1063" s="1">
        <v>132804</v>
      </c>
    </row>
    <row r="1064" spans="1:4">
      <c r="A1064" t="s">
        <v>1125</v>
      </c>
      <c r="B1064">
        <v>883</v>
      </c>
      <c r="C1064" s="1">
        <v>132853</v>
      </c>
      <c r="D1064" s="1">
        <v>132853</v>
      </c>
    </row>
    <row r="1065" spans="1:4">
      <c r="A1065" t="s">
        <v>1126</v>
      </c>
      <c r="B1065">
        <v>884</v>
      </c>
      <c r="C1065" s="1">
        <v>132855</v>
      </c>
      <c r="D1065" s="1">
        <v>132855</v>
      </c>
    </row>
    <row r="1066" spans="1:4">
      <c r="A1066" t="s">
        <v>1127</v>
      </c>
      <c r="B1066">
        <v>885</v>
      </c>
      <c r="C1066" s="1" t="s">
        <v>25</v>
      </c>
      <c r="D1066" s="1" t="s">
        <v>25</v>
      </c>
    </row>
    <row r="1067" spans="1:4">
      <c r="A1067" t="s">
        <v>1128</v>
      </c>
      <c r="B1067">
        <v>886</v>
      </c>
      <c r="C1067" s="1">
        <v>132627</v>
      </c>
      <c r="D1067" s="1">
        <v>165853</v>
      </c>
    </row>
    <row r="1068" spans="1:4">
      <c r="A1068" t="s">
        <v>1129</v>
      </c>
      <c r="B1068">
        <v>887</v>
      </c>
      <c r="C1068" s="1">
        <v>134425</v>
      </c>
      <c r="D1068" s="1">
        <v>165789</v>
      </c>
    </row>
    <row r="1069" spans="1:4">
      <c r="A1069" t="s">
        <v>1130</v>
      </c>
      <c r="B1069">
        <v>888</v>
      </c>
      <c r="C1069" s="1">
        <v>254639</v>
      </c>
      <c r="D1069" s="1">
        <v>168379</v>
      </c>
    </row>
    <row r="1070" spans="1:4">
      <c r="A1070" t="s">
        <v>1131</v>
      </c>
      <c r="B1070">
        <v>889</v>
      </c>
      <c r="C1070" s="1">
        <v>221468</v>
      </c>
      <c r="D1070" s="1">
        <v>134204</v>
      </c>
    </row>
    <row r="1071" spans="1:4">
      <c r="A1071" t="s">
        <v>1132</v>
      </c>
      <c r="B1071">
        <v>89</v>
      </c>
      <c r="C1071" s="1">
        <v>117315</v>
      </c>
      <c r="D1071" s="1">
        <v>117458</v>
      </c>
    </row>
    <row r="1072" spans="1:4">
      <c r="A1072" t="s">
        <v>1133</v>
      </c>
      <c r="B1072">
        <v>890</v>
      </c>
      <c r="C1072" s="1">
        <v>134210</v>
      </c>
      <c r="D1072" s="1">
        <v>134194</v>
      </c>
    </row>
    <row r="1073" spans="1:4">
      <c r="A1073" t="s">
        <v>1134</v>
      </c>
      <c r="B1073">
        <v>891</v>
      </c>
      <c r="C1073" s="1">
        <v>134221</v>
      </c>
      <c r="D1073" s="1">
        <v>134221</v>
      </c>
    </row>
    <row r="1074" spans="1:4">
      <c r="A1074" t="s">
        <v>1135</v>
      </c>
      <c r="B1074">
        <v>892</v>
      </c>
      <c r="C1074" s="1">
        <v>194481</v>
      </c>
      <c r="D1074" s="1">
        <v>134200</v>
      </c>
    </row>
    <row r="1075" spans="1:4">
      <c r="A1075" t="s">
        <v>1136</v>
      </c>
      <c r="B1075">
        <v>893</v>
      </c>
      <c r="C1075" s="1">
        <v>134230</v>
      </c>
      <c r="D1075" s="1">
        <v>134230</v>
      </c>
    </row>
    <row r="1076" spans="1:4">
      <c r="A1076" t="s">
        <v>1137</v>
      </c>
      <c r="B1076">
        <v>894</v>
      </c>
      <c r="C1076" s="1">
        <v>134282</v>
      </c>
      <c r="D1076" s="1">
        <v>134282</v>
      </c>
    </row>
    <row r="1077" spans="1:4">
      <c r="A1077" t="s">
        <v>1138</v>
      </c>
      <c r="B1077">
        <v>895</v>
      </c>
      <c r="C1077" s="1">
        <v>132072</v>
      </c>
      <c r="D1077" s="1">
        <v>132072</v>
      </c>
    </row>
    <row r="1078" spans="1:4">
      <c r="A1078" t="s">
        <v>1139</v>
      </c>
      <c r="B1078">
        <v>896</v>
      </c>
      <c r="C1078" s="1">
        <v>134298</v>
      </c>
      <c r="D1078" s="1">
        <v>134298</v>
      </c>
    </row>
    <row r="1079" spans="1:4">
      <c r="A1079" t="s">
        <v>1140</v>
      </c>
      <c r="B1079">
        <v>897</v>
      </c>
      <c r="C1079" s="1">
        <v>134311</v>
      </c>
      <c r="D1079" s="1">
        <v>134311</v>
      </c>
    </row>
    <row r="1080" spans="1:4">
      <c r="A1080" t="s">
        <v>114</v>
      </c>
      <c r="B1080">
        <v>898</v>
      </c>
      <c r="C1080" s="1">
        <v>558</v>
      </c>
      <c r="D1080" s="1">
        <v>558</v>
      </c>
    </row>
    <row r="1081" spans="1:4">
      <c r="A1081" t="s">
        <v>1141</v>
      </c>
      <c r="B1081">
        <v>899</v>
      </c>
      <c r="C1081" s="1">
        <v>132251</v>
      </c>
      <c r="D1081" s="1">
        <v>132251</v>
      </c>
    </row>
    <row r="1082" spans="1:4">
      <c r="A1082" t="s">
        <v>1142</v>
      </c>
      <c r="B1082">
        <v>9</v>
      </c>
      <c r="C1082" s="1">
        <v>117907</v>
      </c>
      <c r="D1082" s="1">
        <v>117907</v>
      </c>
    </row>
    <row r="1083" spans="1:4">
      <c r="A1083" t="s">
        <v>1143</v>
      </c>
      <c r="B1083">
        <v>90</v>
      </c>
      <c r="C1083" s="1">
        <v>1360</v>
      </c>
      <c r="D1083" s="1">
        <v>1360</v>
      </c>
    </row>
    <row r="1084" spans="1:4">
      <c r="A1084" t="s">
        <v>1144</v>
      </c>
      <c r="B1084">
        <v>900</v>
      </c>
      <c r="C1084" s="1">
        <v>132257</v>
      </c>
      <c r="D1084" s="1">
        <v>132257</v>
      </c>
    </row>
    <row r="1085" spans="1:4">
      <c r="A1085" t="s">
        <v>1145</v>
      </c>
      <c r="B1085">
        <v>901</v>
      </c>
      <c r="C1085" s="1">
        <v>133910</v>
      </c>
      <c r="D1085" s="1">
        <v>169587</v>
      </c>
    </row>
    <row r="1086" spans="1:4">
      <c r="A1086" t="s">
        <v>1146</v>
      </c>
      <c r="B1086">
        <v>902</v>
      </c>
      <c r="C1086" s="1">
        <v>103814</v>
      </c>
      <c r="D1086" s="1">
        <v>103814</v>
      </c>
    </row>
    <row r="1087" spans="1:4">
      <c r="A1087" t="s">
        <v>1147</v>
      </c>
      <c r="B1087">
        <v>903</v>
      </c>
      <c r="C1087" s="1">
        <v>103828</v>
      </c>
      <c r="D1087" s="1">
        <v>103828</v>
      </c>
    </row>
    <row r="1088" spans="1:4">
      <c r="A1088" t="s">
        <v>1148</v>
      </c>
      <c r="B1088">
        <v>904</v>
      </c>
      <c r="C1088" s="1">
        <v>103839</v>
      </c>
      <c r="D1088" s="1">
        <v>103839</v>
      </c>
    </row>
    <row r="1089" spans="1:4">
      <c r="A1089" t="s">
        <v>1149</v>
      </c>
      <c r="B1089">
        <v>905</v>
      </c>
      <c r="C1089" s="1">
        <v>103862</v>
      </c>
      <c r="D1089" s="1">
        <v>103862</v>
      </c>
    </row>
    <row r="1090" spans="1:4">
      <c r="A1090" t="s">
        <v>1150</v>
      </c>
      <c r="B1090">
        <v>906</v>
      </c>
      <c r="C1090" s="1">
        <v>253318</v>
      </c>
      <c r="D1090" s="1">
        <v>103775</v>
      </c>
    </row>
    <row r="1091" spans="1:4">
      <c r="A1091" t="s">
        <v>1151</v>
      </c>
      <c r="B1091">
        <v>907</v>
      </c>
      <c r="C1091" s="1">
        <v>253334</v>
      </c>
      <c r="D1091" s="1">
        <v>250885</v>
      </c>
    </row>
    <row r="1092" spans="1:4">
      <c r="A1092" t="s">
        <v>1152</v>
      </c>
      <c r="B1092">
        <v>908</v>
      </c>
      <c r="C1092" s="1">
        <v>103775</v>
      </c>
      <c r="D1092" s="1">
        <v>103775</v>
      </c>
    </row>
    <row r="1093" spans="1:4">
      <c r="A1093" t="s">
        <v>1153</v>
      </c>
      <c r="B1093">
        <v>909</v>
      </c>
      <c r="C1093" s="1">
        <v>250885</v>
      </c>
      <c r="D1093" s="1">
        <v>250885</v>
      </c>
    </row>
    <row r="1094" spans="1:4">
      <c r="A1094" t="s">
        <v>50</v>
      </c>
      <c r="B1094">
        <v>91</v>
      </c>
      <c r="C1094" s="1">
        <v>100814</v>
      </c>
      <c r="D1094" s="1">
        <v>100814</v>
      </c>
    </row>
    <row r="1095" spans="1:4">
      <c r="A1095" t="s">
        <v>1154</v>
      </c>
      <c r="B1095">
        <v>910</v>
      </c>
      <c r="C1095" s="1">
        <v>103796</v>
      </c>
      <c r="D1095" s="1">
        <v>103796</v>
      </c>
    </row>
    <row r="1096" spans="1:4">
      <c r="A1096" t="s">
        <v>1155</v>
      </c>
      <c r="B1096">
        <v>911</v>
      </c>
      <c r="C1096" s="1">
        <v>103509</v>
      </c>
      <c r="D1096" s="1">
        <v>103509</v>
      </c>
    </row>
    <row r="1097" spans="1:4">
      <c r="A1097" t="s">
        <v>1156</v>
      </c>
      <c r="B1097">
        <v>912</v>
      </c>
      <c r="C1097" s="1">
        <v>103930</v>
      </c>
      <c r="D1097" s="1">
        <v>103930</v>
      </c>
    </row>
    <row r="1098" spans="1:4">
      <c r="A1098" t="s">
        <v>1157</v>
      </c>
      <c r="B1098">
        <v>913</v>
      </c>
      <c r="C1098" s="1">
        <v>103937</v>
      </c>
      <c r="D1098" s="1">
        <v>103937</v>
      </c>
    </row>
    <row r="1099" spans="1:4">
      <c r="A1099" t="s">
        <v>1158</v>
      </c>
      <c r="B1099">
        <v>914</v>
      </c>
      <c r="C1099" s="1">
        <v>103882</v>
      </c>
      <c r="D1099" s="1">
        <v>103882</v>
      </c>
    </row>
    <row r="1100" spans="1:4">
      <c r="A1100" t="s">
        <v>1159</v>
      </c>
      <c r="B1100">
        <v>915</v>
      </c>
      <c r="C1100" s="1">
        <v>103740</v>
      </c>
      <c r="D1100" s="1">
        <v>103740</v>
      </c>
    </row>
    <row r="1101" spans="1:4">
      <c r="A1101" t="s">
        <v>1160</v>
      </c>
      <c r="B1101">
        <v>916</v>
      </c>
      <c r="C1101" s="1">
        <v>250590</v>
      </c>
      <c r="D1101" s="1">
        <v>250590</v>
      </c>
    </row>
    <row r="1102" spans="1:4">
      <c r="A1102" t="s">
        <v>1161</v>
      </c>
      <c r="B1102">
        <v>917</v>
      </c>
      <c r="C1102" s="1">
        <v>103692</v>
      </c>
      <c r="D1102" s="1">
        <v>103692</v>
      </c>
    </row>
    <row r="1103" spans="1:4">
      <c r="A1103" t="s">
        <v>1162</v>
      </c>
      <c r="B1103">
        <v>918</v>
      </c>
      <c r="C1103" s="1">
        <v>1839</v>
      </c>
      <c r="D1103" s="1">
        <v>1839</v>
      </c>
    </row>
    <row r="1104" spans="1:4">
      <c r="A1104" t="s">
        <v>1163</v>
      </c>
      <c r="B1104">
        <v>919</v>
      </c>
      <c r="C1104" s="1">
        <v>333162</v>
      </c>
      <c r="D1104" s="1">
        <v>333162</v>
      </c>
    </row>
    <row r="1105" spans="1:4">
      <c r="A1105" t="s">
        <v>1164</v>
      </c>
      <c r="B1105">
        <v>92</v>
      </c>
      <c r="C1105" s="1">
        <v>100834</v>
      </c>
      <c r="D1105" s="1">
        <v>100834</v>
      </c>
    </row>
    <row r="1106" spans="1:4">
      <c r="A1106" t="s">
        <v>1165</v>
      </c>
      <c r="B1106">
        <v>920</v>
      </c>
      <c r="C1106" s="1">
        <v>151541</v>
      </c>
      <c r="D1106" s="1">
        <v>151541</v>
      </c>
    </row>
    <row r="1107" spans="1:4">
      <c r="A1107" t="s">
        <v>1166</v>
      </c>
      <c r="B1107">
        <v>921</v>
      </c>
      <c r="C1107" s="1" t="s">
        <v>25</v>
      </c>
      <c r="D1107" s="1" t="s">
        <v>25</v>
      </c>
    </row>
    <row r="1108" spans="1:4">
      <c r="A1108" t="s">
        <v>1167</v>
      </c>
      <c r="B1108">
        <v>922</v>
      </c>
      <c r="C1108" s="1">
        <v>133928</v>
      </c>
      <c r="D1108" s="1">
        <v>133928</v>
      </c>
    </row>
    <row r="1109" spans="1:4">
      <c r="A1109" t="s">
        <v>1168</v>
      </c>
      <c r="B1109">
        <v>923</v>
      </c>
      <c r="C1109" s="1">
        <v>136044</v>
      </c>
      <c r="D1109" s="1">
        <v>175027</v>
      </c>
    </row>
    <row r="1110" spans="1:4">
      <c r="A1110" t="s">
        <v>1169</v>
      </c>
      <c r="B1110">
        <v>924</v>
      </c>
      <c r="C1110" s="1">
        <v>136021</v>
      </c>
      <c r="D1110" s="1">
        <v>136021</v>
      </c>
    </row>
    <row r="1111" spans="1:4">
      <c r="A1111" t="s">
        <v>1170</v>
      </c>
      <c r="B1111">
        <v>925</v>
      </c>
      <c r="C1111" s="1">
        <v>1645</v>
      </c>
      <c r="D1111" s="1">
        <v>1645</v>
      </c>
    </row>
    <row r="1112" spans="1:4">
      <c r="A1112" t="s">
        <v>1171</v>
      </c>
      <c r="B1112">
        <v>926</v>
      </c>
      <c r="C1112" s="1">
        <v>1268</v>
      </c>
      <c r="D1112" s="1">
        <v>1268</v>
      </c>
    </row>
    <row r="1113" spans="1:4">
      <c r="A1113" t="s">
        <v>1172</v>
      </c>
      <c r="B1113">
        <v>927</v>
      </c>
      <c r="C1113" s="1">
        <v>101156</v>
      </c>
      <c r="D1113" s="1">
        <v>101156</v>
      </c>
    </row>
    <row r="1114" spans="1:4">
      <c r="A1114" t="s">
        <v>1173</v>
      </c>
      <c r="B1114">
        <v>928</v>
      </c>
      <c r="C1114" s="1">
        <v>101063</v>
      </c>
      <c r="D1114" s="1">
        <v>101063</v>
      </c>
    </row>
    <row r="1115" spans="1:4">
      <c r="A1115" t="s">
        <v>1174</v>
      </c>
      <c r="B1115">
        <v>929</v>
      </c>
      <c r="C1115" s="1">
        <v>101160</v>
      </c>
      <c r="D1115" s="1">
        <v>101160</v>
      </c>
    </row>
    <row r="1116" spans="1:4">
      <c r="A1116" t="s">
        <v>1175</v>
      </c>
      <c r="B1116">
        <v>93</v>
      </c>
      <c r="C1116" s="1">
        <v>100730</v>
      </c>
      <c r="D1116" s="1">
        <v>100730</v>
      </c>
    </row>
    <row r="1117" spans="1:4">
      <c r="A1117" t="s">
        <v>1176</v>
      </c>
      <c r="B1117">
        <v>930</v>
      </c>
      <c r="C1117" s="1">
        <v>104054</v>
      </c>
      <c r="D1117" s="1">
        <v>104054</v>
      </c>
    </row>
    <row r="1118" spans="1:4">
      <c r="A1118" t="s">
        <v>1177</v>
      </c>
      <c r="B1118">
        <v>931</v>
      </c>
      <c r="C1118" s="1">
        <v>1271</v>
      </c>
      <c r="D1118" s="1">
        <v>1271</v>
      </c>
    </row>
    <row r="1119" spans="1:4">
      <c r="A1119" t="s">
        <v>1178</v>
      </c>
      <c r="B1119">
        <v>932</v>
      </c>
      <c r="C1119" s="1">
        <v>122358</v>
      </c>
      <c r="D1119" s="1">
        <v>122358</v>
      </c>
    </row>
    <row r="1120" spans="1:4">
      <c r="A1120" t="s">
        <v>1179</v>
      </c>
      <c r="B1120">
        <v>933</v>
      </c>
      <c r="C1120" s="1">
        <v>246812</v>
      </c>
      <c r="D1120" s="1">
        <v>152391</v>
      </c>
    </row>
    <row r="1121" spans="1:4">
      <c r="A1121" t="s">
        <v>1180</v>
      </c>
      <c r="B1121">
        <v>934</v>
      </c>
      <c r="C1121" s="1">
        <v>152414</v>
      </c>
      <c r="D1121" s="1">
        <v>152414</v>
      </c>
    </row>
    <row r="1122" spans="1:4">
      <c r="A1122" t="s">
        <v>1181</v>
      </c>
      <c r="B1122">
        <v>935</v>
      </c>
      <c r="C1122" s="1">
        <v>794</v>
      </c>
      <c r="D1122" s="1">
        <v>794</v>
      </c>
    </row>
    <row r="1123" spans="1:4">
      <c r="A1123" t="s">
        <v>1182</v>
      </c>
      <c r="B1123">
        <v>936</v>
      </c>
      <c r="C1123" s="1">
        <v>142516</v>
      </c>
      <c r="D1123" s="1">
        <v>142516</v>
      </c>
    </row>
    <row r="1124" spans="1:4">
      <c r="A1124" t="s">
        <v>1183</v>
      </c>
      <c r="B1124">
        <v>937</v>
      </c>
      <c r="C1124" s="1">
        <v>137601</v>
      </c>
      <c r="D1124" s="1">
        <v>137601</v>
      </c>
    </row>
    <row r="1125" spans="1:4">
      <c r="A1125" t="s">
        <v>1184</v>
      </c>
      <c r="B1125">
        <v>938</v>
      </c>
      <c r="C1125" s="1">
        <v>143803</v>
      </c>
      <c r="D1125" s="1">
        <v>143803</v>
      </c>
    </row>
    <row r="1126" spans="1:4">
      <c r="A1126" t="s">
        <v>1185</v>
      </c>
      <c r="B1126">
        <v>939</v>
      </c>
      <c r="C1126" s="1">
        <v>144165</v>
      </c>
      <c r="D1126" s="1">
        <v>144165</v>
      </c>
    </row>
    <row r="1127" spans="1:4">
      <c r="A1127" t="s">
        <v>1186</v>
      </c>
      <c r="B1127">
        <v>94</v>
      </c>
      <c r="C1127" s="1">
        <v>151541</v>
      </c>
      <c r="D1127" s="1">
        <v>151541</v>
      </c>
    </row>
    <row r="1128" spans="1:4">
      <c r="A1128" t="s">
        <v>1187</v>
      </c>
      <c r="B1128">
        <v>940</v>
      </c>
      <c r="C1128" s="1" t="s">
        <v>25</v>
      </c>
      <c r="D1128" s="1" t="s">
        <v>25</v>
      </c>
    </row>
    <row r="1129" spans="1:4">
      <c r="A1129" t="s">
        <v>1188</v>
      </c>
      <c r="B1129">
        <v>941</v>
      </c>
      <c r="C1129" s="1">
        <v>163256</v>
      </c>
      <c r="D1129" s="1">
        <v>145615</v>
      </c>
    </row>
    <row r="1130" spans="1:4">
      <c r="A1130" t="s">
        <v>1189</v>
      </c>
      <c r="B1130">
        <v>942</v>
      </c>
      <c r="C1130" s="1">
        <v>373772</v>
      </c>
      <c r="D1130" s="1">
        <v>373772</v>
      </c>
    </row>
    <row r="1131" spans="1:4">
      <c r="A1131" t="s">
        <v>1190</v>
      </c>
      <c r="B1131">
        <v>943</v>
      </c>
      <c r="C1131" s="1">
        <v>496352</v>
      </c>
      <c r="D1131" s="1">
        <v>145620</v>
      </c>
    </row>
    <row r="1132" spans="1:4">
      <c r="A1132" t="s">
        <v>1191</v>
      </c>
      <c r="B1132">
        <v>944</v>
      </c>
      <c r="C1132" s="1">
        <v>500662</v>
      </c>
      <c r="D1132" s="1">
        <v>144387</v>
      </c>
    </row>
    <row r="1133" spans="1:4">
      <c r="A1133" t="s">
        <v>1192</v>
      </c>
      <c r="B1133">
        <v>945</v>
      </c>
      <c r="C1133" s="1">
        <v>156308</v>
      </c>
      <c r="D1133" s="1">
        <v>708087</v>
      </c>
    </row>
    <row r="1134" spans="1:4">
      <c r="A1134" t="s">
        <v>1193</v>
      </c>
      <c r="B1134">
        <v>946</v>
      </c>
      <c r="C1134" s="1">
        <v>143895</v>
      </c>
      <c r="D1134" s="1">
        <v>143895</v>
      </c>
    </row>
    <row r="1135" spans="1:4">
      <c r="A1135" t="s">
        <v>1194</v>
      </c>
      <c r="B1135">
        <v>947</v>
      </c>
      <c r="C1135" s="1">
        <v>162845</v>
      </c>
      <c r="D1135" s="1">
        <v>144686</v>
      </c>
    </row>
    <row r="1136" spans="1:4">
      <c r="A1136" t="s">
        <v>1195</v>
      </c>
      <c r="B1136">
        <v>948</v>
      </c>
      <c r="C1136" s="1" t="s">
        <v>25</v>
      </c>
      <c r="D1136" s="1" t="s">
        <v>25</v>
      </c>
    </row>
    <row r="1137" spans="1:4">
      <c r="A1137" t="s">
        <v>1196</v>
      </c>
      <c r="B1137">
        <v>949</v>
      </c>
      <c r="C1137" s="1">
        <v>144422</v>
      </c>
      <c r="D1137" s="1">
        <v>144422</v>
      </c>
    </row>
    <row r="1138" spans="1:4">
      <c r="A1138" t="s">
        <v>1197</v>
      </c>
      <c r="B1138">
        <v>95</v>
      </c>
      <c r="C1138" s="1" t="s">
        <v>25</v>
      </c>
      <c r="D1138" s="1" t="s">
        <v>25</v>
      </c>
    </row>
    <row r="1139" spans="1:4">
      <c r="A1139" t="s">
        <v>1198</v>
      </c>
      <c r="B1139">
        <v>950</v>
      </c>
      <c r="C1139" s="1">
        <v>495904</v>
      </c>
      <c r="D1139" s="1">
        <v>494997</v>
      </c>
    </row>
    <row r="1140" spans="1:4">
      <c r="A1140" t="s">
        <v>1199</v>
      </c>
      <c r="B1140">
        <v>951</v>
      </c>
      <c r="C1140" s="1">
        <v>496480</v>
      </c>
      <c r="D1140" s="1">
        <v>145654</v>
      </c>
    </row>
    <row r="1141" spans="1:4">
      <c r="A1141" t="s">
        <v>1200</v>
      </c>
      <c r="B1141">
        <v>952</v>
      </c>
      <c r="C1141" s="1">
        <v>144169</v>
      </c>
      <c r="D1141" s="1">
        <v>144169</v>
      </c>
    </row>
    <row r="1142" spans="1:4">
      <c r="A1142" t="s">
        <v>1201</v>
      </c>
      <c r="B1142">
        <v>953</v>
      </c>
      <c r="C1142" s="1">
        <v>238759</v>
      </c>
      <c r="D1142" s="1">
        <v>144693</v>
      </c>
    </row>
    <row r="1143" spans="1:4">
      <c r="A1143" t="s">
        <v>1202</v>
      </c>
      <c r="B1143">
        <v>954</v>
      </c>
      <c r="C1143" s="1">
        <v>144561</v>
      </c>
      <c r="D1143" s="1">
        <v>178915</v>
      </c>
    </row>
    <row r="1144" spans="1:4">
      <c r="A1144" t="s">
        <v>1203</v>
      </c>
      <c r="B1144">
        <v>955</v>
      </c>
      <c r="C1144" s="1">
        <v>1359839</v>
      </c>
      <c r="D1144" s="1">
        <v>144217</v>
      </c>
    </row>
    <row r="1145" spans="1:4">
      <c r="A1145" t="s">
        <v>1204</v>
      </c>
      <c r="B1145">
        <v>956</v>
      </c>
      <c r="C1145" s="1">
        <v>144839</v>
      </c>
      <c r="D1145" s="1">
        <v>144839</v>
      </c>
    </row>
    <row r="1146" spans="1:4">
      <c r="A1146" t="s">
        <v>1205</v>
      </c>
      <c r="B1146">
        <v>957</v>
      </c>
      <c r="C1146" s="1" t="s">
        <v>25</v>
      </c>
      <c r="D1146" s="1" t="s">
        <v>25</v>
      </c>
    </row>
    <row r="1147" spans="1:4">
      <c r="A1147" t="s">
        <v>1206</v>
      </c>
      <c r="B1147">
        <v>958</v>
      </c>
      <c r="C1147" s="1">
        <v>143923</v>
      </c>
      <c r="D1147" s="1">
        <v>143923</v>
      </c>
    </row>
    <row r="1148" spans="1:4">
      <c r="A1148" t="s">
        <v>1207</v>
      </c>
      <c r="B1148">
        <v>959</v>
      </c>
      <c r="C1148" s="1">
        <v>498656</v>
      </c>
      <c r="D1148" s="1">
        <v>144854</v>
      </c>
    </row>
    <row r="1149" spans="1:4">
      <c r="A1149" t="s">
        <v>1208</v>
      </c>
      <c r="B1149">
        <v>96</v>
      </c>
      <c r="C1149" s="1">
        <v>100908</v>
      </c>
      <c r="D1149" s="1">
        <v>100908</v>
      </c>
    </row>
    <row r="1150" spans="1:4">
      <c r="A1150" t="s">
        <v>1209</v>
      </c>
      <c r="B1150">
        <v>960</v>
      </c>
      <c r="C1150" s="1">
        <v>145108</v>
      </c>
      <c r="D1150" s="1">
        <v>145108</v>
      </c>
    </row>
    <row r="1151" spans="1:4">
      <c r="A1151" t="s">
        <v>1210</v>
      </c>
      <c r="B1151">
        <v>961</v>
      </c>
      <c r="C1151" s="1">
        <v>144018</v>
      </c>
      <c r="D1151" s="1">
        <v>144018</v>
      </c>
    </row>
    <row r="1152" spans="1:4">
      <c r="A1152" t="s">
        <v>1211</v>
      </c>
      <c r="B1152">
        <v>962</v>
      </c>
      <c r="C1152" s="1">
        <v>157352</v>
      </c>
      <c r="D1152" s="1">
        <v>145228</v>
      </c>
    </row>
    <row r="1153" spans="1:4">
      <c r="A1153" t="s">
        <v>1212</v>
      </c>
      <c r="B1153">
        <v>963</v>
      </c>
      <c r="C1153" s="1">
        <v>146966</v>
      </c>
      <c r="D1153" s="1">
        <v>146966</v>
      </c>
    </row>
    <row r="1154" spans="1:4">
      <c r="A1154" t="s">
        <v>1213</v>
      </c>
      <c r="B1154">
        <v>964</v>
      </c>
      <c r="C1154" s="1">
        <v>240489</v>
      </c>
      <c r="D1154" s="1">
        <v>145771</v>
      </c>
    </row>
    <row r="1155" spans="1:4">
      <c r="A1155" t="s">
        <v>1214</v>
      </c>
      <c r="B1155">
        <v>965</v>
      </c>
      <c r="C1155" s="1">
        <v>157364</v>
      </c>
      <c r="D1155" s="1">
        <v>145616</v>
      </c>
    </row>
    <row r="1156" spans="1:4">
      <c r="A1156" t="s">
        <v>1215</v>
      </c>
      <c r="B1156">
        <v>966</v>
      </c>
      <c r="C1156" s="1">
        <v>497001</v>
      </c>
      <c r="D1156" s="1">
        <v>145322</v>
      </c>
    </row>
    <row r="1157" spans="1:4">
      <c r="A1157" t="s">
        <v>1216</v>
      </c>
      <c r="B1157">
        <v>967</v>
      </c>
      <c r="C1157" s="1">
        <v>144607</v>
      </c>
      <c r="D1157" s="1">
        <v>144607</v>
      </c>
    </row>
    <row r="1158" spans="1:4">
      <c r="A1158" t="s">
        <v>1217</v>
      </c>
      <c r="B1158">
        <v>968</v>
      </c>
      <c r="C1158" s="1">
        <v>163502</v>
      </c>
      <c r="D1158" s="1">
        <v>637672</v>
      </c>
    </row>
    <row r="1159" spans="1:4">
      <c r="A1159" t="s">
        <v>32</v>
      </c>
      <c r="B1159">
        <v>969</v>
      </c>
      <c r="C1159" s="1">
        <v>143853</v>
      </c>
      <c r="D1159" s="1">
        <v>143853</v>
      </c>
    </row>
    <row r="1160" spans="1:4">
      <c r="A1160" t="s">
        <v>1218</v>
      </c>
      <c r="B1160">
        <v>97</v>
      </c>
      <c r="C1160" s="1">
        <v>100915</v>
      </c>
      <c r="D1160" s="1">
        <v>100915</v>
      </c>
    </row>
    <row r="1161" spans="1:4">
      <c r="A1161" t="s">
        <v>1219</v>
      </c>
      <c r="B1161">
        <v>970</v>
      </c>
      <c r="C1161" s="1">
        <v>157326</v>
      </c>
      <c r="D1161" s="1">
        <v>144672</v>
      </c>
    </row>
    <row r="1162" spans="1:4">
      <c r="A1162" t="s">
        <v>1220</v>
      </c>
      <c r="B1162">
        <v>971</v>
      </c>
      <c r="C1162" s="1">
        <v>144855</v>
      </c>
      <c r="D1162" s="1">
        <v>144855</v>
      </c>
    </row>
    <row r="1163" spans="1:4">
      <c r="A1163" t="s">
        <v>1221</v>
      </c>
      <c r="B1163">
        <v>972</v>
      </c>
      <c r="C1163" s="1">
        <v>852</v>
      </c>
      <c r="D1163" s="1">
        <v>852</v>
      </c>
    </row>
    <row r="1164" spans="1:4">
      <c r="A1164" t="s">
        <v>1222</v>
      </c>
      <c r="B1164">
        <v>973</v>
      </c>
      <c r="C1164" s="1">
        <v>145716</v>
      </c>
      <c r="D1164" s="1">
        <v>145716</v>
      </c>
    </row>
    <row r="1165" spans="1:4">
      <c r="A1165" t="s">
        <v>1223</v>
      </c>
      <c r="B1165">
        <v>974</v>
      </c>
      <c r="C1165" s="1">
        <v>145722</v>
      </c>
      <c r="D1165" s="1">
        <v>145722</v>
      </c>
    </row>
    <row r="1166" spans="1:4">
      <c r="A1166" t="s">
        <v>1224</v>
      </c>
      <c r="B1166">
        <v>975</v>
      </c>
      <c r="C1166" s="1">
        <v>145724</v>
      </c>
      <c r="D1166" s="1">
        <v>145724</v>
      </c>
    </row>
    <row r="1167" spans="1:4">
      <c r="A1167" t="s">
        <v>1225</v>
      </c>
      <c r="B1167">
        <v>976</v>
      </c>
      <c r="C1167" s="1">
        <v>145730</v>
      </c>
      <c r="D1167" s="1">
        <v>234483</v>
      </c>
    </row>
    <row r="1168" spans="1:4">
      <c r="A1168" t="s">
        <v>1226</v>
      </c>
      <c r="B1168">
        <v>977</v>
      </c>
      <c r="C1168" s="1">
        <v>497297</v>
      </c>
      <c r="D1168" s="1">
        <v>497297</v>
      </c>
    </row>
    <row r="1169" spans="1:4">
      <c r="A1169" t="s">
        <v>1227</v>
      </c>
      <c r="B1169">
        <v>978</v>
      </c>
      <c r="C1169" s="1">
        <v>144910</v>
      </c>
      <c r="D1169" s="1">
        <v>144910</v>
      </c>
    </row>
    <row r="1170" spans="1:4">
      <c r="A1170" t="s">
        <v>1228</v>
      </c>
      <c r="B1170">
        <v>979</v>
      </c>
      <c r="C1170" s="1">
        <v>144924</v>
      </c>
      <c r="D1170" s="1">
        <v>144924</v>
      </c>
    </row>
    <row r="1171" spans="1:4">
      <c r="A1171" t="s">
        <v>1229</v>
      </c>
      <c r="B1171">
        <v>98</v>
      </c>
      <c r="C1171" s="1">
        <v>100982</v>
      </c>
      <c r="D1171" s="1">
        <v>100982</v>
      </c>
    </row>
    <row r="1172" spans="1:4">
      <c r="A1172" t="s">
        <v>1230</v>
      </c>
      <c r="B1172">
        <v>980</v>
      </c>
      <c r="C1172" s="1">
        <v>145001</v>
      </c>
      <c r="D1172" s="1">
        <v>145001</v>
      </c>
    </row>
    <row r="1173" spans="1:4">
      <c r="A1173" t="s">
        <v>1231</v>
      </c>
      <c r="B1173">
        <v>981</v>
      </c>
      <c r="C1173" s="1">
        <v>145307</v>
      </c>
      <c r="D1173" s="1">
        <v>145307</v>
      </c>
    </row>
    <row r="1174" spans="1:4">
      <c r="A1174" t="s">
        <v>68</v>
      </c>
      <c r="B1174">
        <v>982</v>
      </c>
      <c r="C1174" s="1">
        <v>144067</v>
      </c>
      <c r="D1174" s="1">
        <v>144067</v>
      </c>
    </row>
    <row r="1175" spans="1:4">
      <c r="A1175" t="s">
        <v>1232</v>
      </c>
      <c r="B1175">
        <v>983</v>
      </c>
      <c r="C1175" s="1">
        <v>145322</v>
      </c>
      <c r="D1175" s="1">
        <v>145322</v>
      </c>
    </row>
    <row r="1176" spans="1:4">
      <c r="A1176" t="s">
        <v>1233</v>
      </c>
      <c r="B1176">
        <v>984</v>
      </c>
      <c r="C1176" s="1">
        <v>144099</v>
      </c>
      <c r="D1176" s="1">
        <v>144099</v>
      </c>
    </row>
    <row r="1177" spans="1:4">
      <c r="A1177" t="s">
        <v>48</v>
      </c>
      <c r="B1177">
        <v>985</v>
      </c>
      <c r="C1177" s="1">
        <v>157188</v>
      </c>
      <c r="D1177" s="1">
        <v>157188</v>
      </c>
    </row>
    <row r="1178" spans="1:4">
      <c r="A1178" t="s">
        <v>1234</v>
      </c>
      <c r="B1178">
        <v>986</v>
      </c>
      <c r="C1178" s="1">
        <v>143968</v>
      </c>
      <c r="D1178" s="1">
        <v>143968</v>
      </c>
    </row>
    <row r="1179" spans="1:4">
      <c r="A1179" t="s">
        <v>1235</v>
      </c>
      <c r="B1179">
        <v>987</v>
      </c>
      <c r="C1179" s="1">
        <v>497940</v>
      </c>
      <c r="D1179" s="1">
        <v>145863</v>
      </c>
    </row>
    <row r="1180" spans="1:4">
      <c r="A1180" t="s">
        <v>1236</v>
      </c>
      <c r="B1180">
        <v>988</v>
      </c>
      <c r="C1180" s="1">
        <v>144259</v>
      </c>
      <c r="D1180" s="1">
        <v>144259</v>
      </c>
    </row>
    <row r="1181" spans="1:4">
      <c r="A1181" t="s">
        <v>1237</v>
      </c>
      <c r="B1181">
        <v>989</v>
      </c>
      <c r="C1181" s="1">
        <v>145541</v>
      </c>
      <c r="D1181" s="1">
        <v>145541</v>
      </c>
    </row>
    <row r="1182" spans="1:4">
      <c r="A1182" t="s">
        <v>1238</v>
      </c>
      <c r="B1182">
        <v>99</v>
      </c>
      <c r="C1182" s="1">
        <v>100854</v>
      </c>
      <c r="D1182" s="1">
        <v>100854</v>
      </c>
    </row>
    <row r="1183" spans="1:4">
      <c r="A1183" t="s">
        <v>1239</v>
      </c>
      <c r="B1183">
        <v>990</v>
      </c>
      <c r="C1183" s="1">
        <v>145544</v>
      </c>
      <c r="D1183" s="1">
        <v>145544</v>
      </c>
    </row>
    <row r="1184" spans="1:4">
      <c r="A1184" t="s">
        <v>1240</v>
      </c>
      <c r="B1184">
        <v>991</v>
      </c>
      <c r="C1184" s="1">
        <v>248056</v>
      </c>
      <c r="D1184" s="1">
        <v>145548</v>
      </c>
    </row>
    <row r="1185" spans="1:4">
      <c r="A1185" t="s">
        <v>1241</v>
      </c>
      <c r="B1185">
        <v>992</v>
      </c>
      <c r="C1185" s="1">
        <v>145546</v>
      </c>
      <c r="D1185" s="1">
        <v>145546</v>
      </c>
    </row>
    <row r="1186" spans="1:4">
      <c r="A1186" t="s">
        <v>29</v>
      </c>
      <c r="B1186">
        <v>993</v>
      </c>
      <c r="C1186" s="1">
        <v>145548</v>
      </c>
      <c r="D1186" s="1">
        <v>145548</v>
      </c>
    </row>
    <row r="1187" spans="1:4">
      <c r="A1187" t="s">
        <v>1242</v>
      </c>
      <c r="B1187">
        <v>994</v>
      </c>
      <c r="C1187" s="1">
        <v>145550</v>
      </c>
      <c r="D1187" s="1">
        <v>145550</v>
      </c>
    </row>
    <row r="1188" spans="1:4">
      <c r="A1188" t="s">
        <v>1243</v>
      </c>
      <c r="B1188">
        <v>995</v>
      </c>
      <c r="C1188" s="1">
        <v>145029</v>
      </c>
      <c r="D1188" s="1">
        <v>145029</v>
      </c>
    </row>
    <row r="1189" spans="1:4">
      <c r="A1189" t="s">
        <v>62</v>
      </c>
      <c r="B1189">
        <v>996</v>
      </c>
      <c r="C1189" s="1">
        <v>145065</v>
      </c>
      <c r="D1189" s="1">
        <v>145065</v>
      </c>
    </row>
    <row r="1190" spans="1:4">
      <c r="A1190" t="s">
        <v>1244</v>
      </c>
      <c r="B1190">
        <v>997</v>
      </c>
      <c r="C1190" s="1">
        <v>145064</v>
      </c>
      <c r="D1190" s="1">
        <v>145064</v>
      </c>
    </row>
    <row r="1191" spans="1:4">
      <c r="A1191" t="s">
        <v>1245</v>
      </c>
      <c r="B1191">
        <v>998</v>
      </c>
      <c r="C1191" s="1">
        <v>143997</v>
      </c>
      <c r="D1191" s="1">
        <v>143997</v>
      </c>
    </row>
    <row r="1192" spans="1:4">
      <c r="A1192" t="s">
        <v>1246</v>
      </c>
      <c r="B1192">
        <v>999</v>
      </c>
      <c r="C1192" s="1">
        <v>143995</v>
      </c>
      <c r="D1192" s="1">
        <v>143995</v>
      </c>
    </row>
    <row r="1193" spans="1:4">
      <c r="A1193" t="s">
        <v>1247</v>
      </c>
      <c r="B1193">
        <v>1196</v>
      </c>
      <c r="C1193">
        <v>130926</v>
      </c>
      <c r="D1193">
        <v>130926</v>
      </c>
    </row>
    <row r="1194" spans="1:4">
      <c r="A1194" t="s">
        <v>1248</v>
      </c>
      <c r="B1194">
        <v>1197</v>
      </c>
      <c r="C1194">
        <v>493907</v>
      </c>
      <c r="D1194">
        <v>493907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аннотация</vt:lpstr>
      <vt:lpstr>stations</vt:lpstr>
      <vt:lpstr>NB</vt:lpstr>
      <vt:lpstr>Hydrobia samples</vt:lpstr>
      <vt:lpstr>size</vt:lpstr>
      <vt:lpstr>species_list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</dc:creator>
  <cp:lastModifiedBy>Admin</cp:lastModifiedBy>
  <dcterms:created xsi:type="dcterms:W3CDTF">2025-09-23T09:14:00Z</dcterms:created>
  <dcterms:modified xsi:type="dcterms:W3CDTF">2026-02-23T14:12:05Z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7757FE79C2B74AA883D0022D8AA42B47</vt:lpwstr>
  </property>
  <property fmtid="{D5CDD505-2E9C-101B-9397-08002B2CF9AE}" pid="3" name="KSOProductBuildVer">
    <vt:lpwstr>1033-11.2.0.10323</vt:lpwstr>
  </property>
</Properties>
</file>