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ocuments\лэмб\Onega_benthos\OnegaBenthos25\"/>
    </mc:Choice>
  </mc:AlternateContent>
  <xr:revisionPtr revIDLastSave="0" documentId="13_ncr:1_{9C2B7FDE-D9C0-47E1-8391-26C715121A87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  <sheet name="Лист1" sheetId="2" r:id="rId2"/>
  </sheets>
  <definedNames>
    <definedName name="_xlnm._FilterDatabase" localSheetId="0" hidden="1">Sheet1!$E$1:$E$356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3" i="2" l="1"/>
  <c r="J8" i="2"/>
  <c r="J12" i="2" s="1"/>
  <c r="J14" i="2" s="1"/>
</calcChain>
</file>

<file path=xl/sharedStrings.xml><?xml version="1.0" encoding="utf-8"?>
<sst xmlns="http://schemas.openxmlformats.org/spreadsheetml/2006/main" count="2450" uniqueCount="211">
  <si>
    <t>station</t>
  </si>
  <si>
    <t>sample</t>
  </si>
  <si>
    <t>station_name</t>
  </si>
  <si>
    <t>size_code</t>
  </si>
  <si>
    <t>taxon_name</t>
  </si>
  <si>
    <t>species_code</t>
  </si>
  <si>
    <t>density</t>
  </si>
  <si>
    <t>biomass</t>
  </si>
  <si>
    <t>added_by_user</t>
  </si>
  <si>
    <t>notes</t>
  </si>
  <si>
    <t>...11</t>
  </si>
  <si>
    <t>Macoma balthica</t>
  </si>
  <si>
    <t>435</t>
  </si>
  <si>
    <t>Аристов</t>
  </si>
  <si>
    <t>Alexeeva_onega25.pdf(11), Poloskin-2_01.jpg, (0.5)</t>
  </si>
  <si>
    <t>Alita virens</t>
  </si>
  <si>
    <t>789</t>
  </si>
  <si>
    <t>Tubifex costatus</t>
  </si>
  <si>
    <t>828</t>
  </si>
  <si>
    <t>Hydrobia ventrosa</t>
  </si>
  <si>
    <t>376</t>
  </si>
  <si>
    <t>Alexeeva_onega25.pdf(11), Poloskin-2_01.jpg, (0.5), рассчетные значения, суммарно 339x3,462</t>
  </si>
  <si>
    <t>Hydrobia ulvae</t>
  </si>
  <si>
    <t>375</t>
  </si>
  <si>
    <t>Alexeeva_onega25.pdf(11), Poloskin-2_01.jpg, (0.5), рассчетные значения, суммарно 339x3,463</t>
  </si>
  <si>
    <t>Hydrobia sp.</t>
  </si>
  <si>
    <t>#N/A</t>
  </si>
  <si>
    <t>Манылова</t>
  </si>
  <si>
    <t>Nereis sp.</t>
  </si>
  <si>
    <t>788</t>
  </si>
  <si>
    <t>Nephthys minuta</t>
  </si>
  <si>
    <t>784</t>
  </si>
  <si>
    <t>Alexeeva_onega25.pdf(12), Poloskin-2_01.jpg, (0.5)</t>
  </si>
  <si>
    <t>Mya arenaria</t>
  </si>
  <si>
    <t>440</t>
  </si>
  <si>
    <t>Alexeeva_onega25.pdf(12), рассчетные значения, суммарно 470x1,087</t>
  </si>
  <si>
    <t>av-dop.pdf(17)</t>
  </si>
  <si>
    <t>av-dop</t>
  </si>
  <si>
    <t>Pygospio elegans</t>
  </si>
  <si>
    <t>740</t>
  </si>
  <si>
    <t>Tubificoides benedeni</t>
  </si>
  <si>
    <t>829</t>
  </si>
  <si>
    <t>Alexeeva_onega25.pdf(10), Poloskin-2_06.jpg, (0.5)</t>
  </si>
  <si>
    <t>Paranais litoralis</t>
  </si>
  <si>
    <t>833</t>
  </si>
  <si>
    <t>Alexeeva_onega25.pdf(10), Poloskin-2_06.jpg, (0.5), рассчетные значения, суммарно 894x5,528</t>
  </si>
  <si>
    <t>Fabricia sabella</t>
  </si>
  <si>
    <t>797</t>
  </si>
  <si>
    <t>Alexeeva_onega25.pdf(10), Poloskin-2_06.jpg, (0.5) возможен перенос с сита</t>
  </si>
  <si>
    <t>Capitella capitata</t>
  </si>
  <si>
    <t>642</t>
  </si>
  <si>
    <t>Eteone longa</t>
  </si>
  <si>
    <t>709</t>
  </si>
  <si>
    <t>Alexeeva_onega25.pdf(12, 13 (0.5))</t>
  </si>
  <si>
    <t>Alexeeva_onega25.pdf(12,13), рассчетные значения, суммарно 1177x3627 + гидробии из 0.5</t>
  </si>
  <si>
    <t>av-dop.pdf</t>
  </si>
  <si>
    <t>Alexeeva_onega25.pdf(7-8), фауна с сита 0.5 просуммирована</t>
  </si>
  <si>
    <t>Alexeeva_onega25.pdf(7-8), фауна с сита 0.5 просуммирована, рассчетные значения, суммарно 720x2,051</t>
  </si>
  <si>
    <t>Polychaeta</t>
  </si>
  <si>
    <t>819</t>
  </si>
  <si>
    <t>Alexeeva_onega25.pdf(9-10), Poloskin-2_02.jpg, (0.5)</t>
  </si>
  <si>
    <t>Arenicola marina</t>
  </si>
  <si>
    <t>615</t>
  </si>
  <si>
    <t>Alexeeva_onega25.pdf(9-10), Poloskin-2_02.jpg, (0.5), рассчетные значения, суммарно 1262x4,129</t>
  </si>
  <si>
    <t>сито 0.5</t>
  </si>
  <si>
    <t>Clitellio arenarius</t>
  </si>
  <si>
    <t>826</t>
  </si>
  <si>
    <t>Microspio sp.</t>
  </si>
  <si>
    <t>Alexeeva_onega25.pdf(3-4)</t>
  </si>
  <si>
    <t>Fucus vesiculosus</t>
  </si>
  <si>
    <t>993</t>
  </si>
  <si>
    <t>Enteromorpha prolifera</t>
  </si>
  <si>
    <t>1000</t>
  </si>
  <si>
    <t>Ilea zostericola</t>
  </si>
  <si>
    <t>1002</t>
  </si>
  <si>
    <t>Polysiphonia sp.</t>
  </si>
  <si>
    <t>969</t>
  </si>
  <si>
    <t>Nymphon sp.</t>
  </si>
  <si>
    <t>276</t>
  </si>
  <si>
    <t>Spio theeli</t>
  </si>
  <si>
    <t>732</t>
  </si>
  <si>
    <t>Mytilus edulis</t>
  </si>
  <si>
    <t>457</t>
  </si>
  <si>
    <t>Alexeeva_onega25.pdf(4-5)</t>
  </si>
  <si>
    <t>Crangon crangon</t>
  </si>
  <si>
    <t>250</t>
  </si>
  <si>
    <t>Pyllaiella litoralis</t>
  </si>
  <si>
    <t>985</t>
  </si>
  <si>
    <t>Dynamena pumila</t>
  </si>
  <si>
    <t>6</t>
  </si>
  <si>
    <t>Aulactinia stella</t>
  </si>
  <si>
    <t>91</t>
  </si>
  <si>
    <t>Gammarus sp.</t>
  </si>
  <si>
    <t>189</t>
  </si>
  <si>
    <t>Calliopius laeviusculus</t>
  </si>
  <si>
    <t>157</t>
  </si>
  <si>
    <t>Chironomidae</t>
  </si>
  <si>
    <t>281</t>
  </si>
  <si>
    <t>Phyllodoce maculata</t>
  </si>
  <si>
    <t>718</t>
  </si>
  <si>
    <t>Littorina littorea</t>
  </si>
  <si>
    <t>379</t>
  </si>
  <si>
    <t>Alexeeva_onega25.pdf(5-6)</t>
  </si>
  <si>
    <t>Littorina obtusata</t>
  </si>
  <si>
    <t>380</t>
  </si>
  <si>
    <t>возм. часть - L. fabalis, Alexeeva_onega25.pdf(5-6)</t>
  </si>
  <si>
    <t>Epheria vincta</t>
  </si>
  <si>
    <t>373</t>
  </si>
  <si>
    <t>Cladophora sericea</t>
  </si>
  <si>
    <t>996</t>
  </si>
  <si>
    <t>Lacuna neritoidea</t>
  </si>
  <si>
    <t>374</t>
  </si>
  <si>
    <t>Enchitreidae</t>
  </si>
  <si>
    <t>830</t>
  </si>
  <si>
    <t>Jaera albifrons</t>
  </si>
  <si>
    <t>261</t>
  </si>
  <si>
    <t>Alexeeva_onega25.pdf(6-7)</t>
  </si>
  <si>
    <t>Onoba aculeus</t>
  </si>
  <si>
    <t>383</t>
  </si>
  <si>
    <t>Dictyosiphon sp.</t>
  </si>
  <si>
    <t>982</t>
  </si>
  <si>
    <t>Alexeeva_onega25.pdf(14)</t>
  </si>
  <si>
    <t>Alexeeva_onega25.pdf(16)</t>
  </si>
  <si>
    <t>Littorina saxatilis</t>
  </si>
  <si>
    <t>381</t>
  </si>
  <si>
    <t>Alexeeva_onega25.pdf(15)</t>
  </si>
  <si>
    <t>Ilea zosterifolia</t>
  </si>
  <si>
    <t>Alexeeva_onega25.pdf(15-16)</t>
  </si>
  <si>
    <t>Alexeeva_onega25.pdf(13)</t>
  </si>
  <si>
    <t>Cladophora rupestris</t>
  </si>
  <si>
    <t>997</t>
  </si>
  <si>
    <t>Elachistea sp.</t>
  </si>
  <si>
    <t>986</t>
  </si>
  <si>
    <t>Petrov_onega25.pdf(2-3)</t>
  </si>
  <si>
    <t>Nematoda</t>
  </si>
  <si>
    <t>Petrov_onega25.pdf(3-4)</t>
  </si>
  <si>
    <t>Petrov_onega25.pdf(4)</t>
  </si>
  <si>
    <t>Obelia sp.</t>
  </si>
  <si>
    <t>54</t>
  </si>
  <si>
    <t>Efimov_onega25.pdf(6)</t>
  </si>
  <si>
    <t>Efimov_onega25.pdf(3-6)</t>
  </si>
  <si>
    <t>Caprella septemtrionalis</t>
  </si>
  <si>
    <t>163</t>
  </si>
  <si>
    <t>Ectocarpus sp.</t>
  </si>
  <si>
    <t>984</t>
  </si>
  <si>
    <t>100</t>
  </si>
  <si>
    <t>Phyllodoce groenlandica</t>
  </si>
  <si>
    <t>717</t>
  </si>
  <si>
    <t>ДА (личный)</t>
  </si>
  <si>
    <t>сито 1</t>
  </si>
  <si>
    <t>Phyllophora brodiaei</t>
  </si>
  <si>
    <t>950</t>
  </si>
  <si>
    <t>вводим сюда значения</t>
  </si>
  <si>
    <t>выборка 1</t>
  </si>
  <si>
    <t>Nобщ</t>
  </si>
  <si>
    <t>выборка 2</t>
  </si>
  <si>
    <t>nP</t>
  </si>
  <si>
    <t>nE</t>
  </si>
  <si>
    <t>NPрасс</t>
  </si>
  <si>
    <t>NEрасс</t>
  </si>
  <si>
    <t>Ntotal</t>
  </si>
  <si>
    <t xml:space="preserve">сито 1 </t>
  </si>
  <si>
    <t>Alexeeva_onega25.pdf(10)</t>
  </si>
  <si>
    <t xml:space="preserve"> Poloskin-2_06.jpg, (0.5)</t>
  </si>
  <si>
    <t>NA</t>
  </si>
  <si>
    <t xml:space="preserve">Alexeeva_onega25.pdf(12), </t>
  </si>
  <si>
    <t>PoloskinA-1_01.jpg</t>
  </si>
  <si>
    <t>Poloskin-2_02.jpg, (0.5)</t>
  </si>
  <si>
    <t>Alexeeva_onega25.pdf(9-10)</t>
  </si>
  <si>
    <t>Alexeeva_onega25.pdf(11)</t>
  </si>
  <si>
    <t>Alexeeva_onega25.pdf(8)</t>
  </si>
  <si>
    <t>Poloskin-2_07.jpg, (0.5)</t>
  </si>
  <si>
    <t>Alexeeva_onega25.pdf(9)</t>
  </si>
  <si>
    <t>Poloskin-2_06.jpg, (0.5)</t>
  </si>
  <si>
    <t>без разд. на сито</t>
  </si>
  <si>
    <t>area</t>
  </si>
  <si>
    <t>ОH8_3</t>
  </si>
  <si>
    <t>ОH8_2</t>
  </si>
  <si>
    <t>ОH8_1</t>
  </si>
  <si>
    <t>ОH16_3</t>
  </si>
  <si>
    <t>ОH16_2</t>
  </si>
  <si>
    <t>ОH16_1</t>
  </si>
  <si>
    <t>ОH17_3</t>
  </si>
  <si>
    <t>ОH17_2</t>
  </si>
  <si>
    <t>ОH18_3</t>
  </si>
  <si>
    <t>ОH18_2</t>
  </si>
  <si>
    <t>ОH19_1</t>
  </si>
  <si>
    <t>ОH19_3</t>
  </si>
  <si>
    <t>ОH19_2</t>
  </si>
  <si>
    <t>ОH32_3</t>
  </si>
  <si>
    <t>ОH32_1</t>
  </si>
  <si>
    <t>ОH34_3</t>
  </si>
  <si>
    <t>ОH34_2</t>
  </si>
  <si>
    <t>ОH23_1</t>
  </si>
  <si>
    <t>ОH23_2</t>
  </si>
  <si>
    <t>ОH23_3</t>
  </si>
  <si>
    <t>ОH24_2</t>
  </si>
  <si>
    <t>ОH24_1</t>
  </si>
  <si>
    <t>ОH24_3</t>
  </si>
  <si>
    <t>ОH25_1</t>
  </si>
  <si>
    <t>ОH25_2</t>
  </si>
  <si>
    <t>ОH25_3</t>
  </si>
  <si>
    <t>ОH31_3</t>
  </si>
  <si>
    <t>ОH31_1</t>
  </si>
  <si>
    <t>ОH31_2</t>
  </si>
  <si>
    <t>ОH32_2</t>
  </si>
  <si>
    <t>ОH34_1</t>
  </si>
  <si>
    <t>ОH17_1</t>
  </si>
  <si>
    <t xml:space="preserve">location </t>
  </si>
  <si>
    <t>veiga</t>
  </si>
  <si>
    <t>glub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</si>
</sst>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5" xfId="0" applyBorder="1" applyAlignment="1">
      <alignment vertical="center"/>
    </xf>
    <xf numFmtId="0" fontId="2" fillId="0" borderId="4" xfId="0" applyFont="1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10" xfId="0" applyBorder="1" applyAlignment="1">
      <alignment vertical="center"/>
    </xf>
    <xf numFmtId="0" fontId="3" fillId="0" borderId="0" xfId="0" applyFont="1" applyAlignment="1">
      <alignment vertical="center"/>
    </xf>
    <xf numFmtId="0" fontId="3" fillId="0" borderId="7" xfId="0" applyFont="1" applyBorder="1" applyAlignment="1">
      <alignment vertical="center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381000</xdr:colOff>
      <xdr:row>1</xdr:row>
      <xdr:rowOff>38100</xdr:rowOff>
    </xdr:from>
    <xdr:to>
      <xdr:col>7</xdr:col>
      <xdr:colOff>442383</xdr:colOff>
      <xdr:row>17</xdr:row>
      <xdr:rowOff>13970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20D6B61A-DAA9-4251-9B48-596E867BA0C0}"/>
            </a:ext>
          </a:extLst>
        </xdr:cNvPr>
        <xdr:cNvSpPr txBox="1"/>
      </xdr:nvSpPr>
      <xdr:spPr>
        <a:xfrm>
          <a:off x="381000" y="220980"/>
          <a:ext cx="4328583" cy="29019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ru-RU" altLang="en-US" sz="1100"/>
            <a:t>Поскольку численность гидробий была очень высока, для выяснения численности отдельных видов (</a:t>
          </a:r>
          <a:r>
            <a:rPr lang="en-US" altLang="ru-RU" sz="1100"/>
            <a:t>Peringia ulvae </a:t>
          </a:r>
          <a:r>
            <a:rPr lang="ru-RU" altLang="en-US" sz="1100"/>
            <a:t>и </a:t>
          </a:r>
          <a:r>
            <a:rPr lang="en-US" altLang="ru-RU" sz="1100"/>
            <a:t>Ecrobia ventrosa)</a:t>
          </a:r>
          <a:r>
            <a:rPr lang="ru-RU" altLang="en-US" sz="1100"/>
            <a:t> делали подвыборки, в которых считали соотношения видов. Рассчетное количество особей отдельных видов, а также их рассчетную биомассу вычисляли, исходя из формулы:</a:t>
          </a:r>
        </a:p>
        <a:p>
          <a:pPr algn="l"/>
          <a:r>
            <a:rPr lang="en-US" altLang="ru-RU" sz="1100"/>
            <a:t>(</a:t>
          </a:r>
          <a:r>
            <a:rPr lang="ru-RU" altLang="en-US" sz="1100"/>
            <a:t>пример для рассчета количества </a:t>
          </a:r>
          <a:r>
            <a:rPr lang="en-US" altLang="ru-RU" sz="1100"/>
            <a:t>Peringia ulvae</a:t>
          </a:r>
          <a:r>
            <a:rPr lang="ru-RU" altLang="en-US" sz="1100"/>
            <a:t>)</a:t>
          </a:r>
        </a:p>
        <a:p>
          <a:pPr algn="l"/>
          <a:endParaRPr lang="ru-RU" altLang="en-US" sz="1100"/>
        </a:p>
        <a:p>
          <a:pPr algn="l"/>
          <a:endParaRPr lang="ru-RU" altLang="en-US" sz="1100"/>
        </a:p>
        <a:p>
          <a:pPr algn="l"/>
          <a:endParaRPr lang="ru-RU" altLang="en-US" sz="1100"/>
        </a:p>
        <a:p>
          <a:pPr algn="l"/>
          <a:r>
            <a:rPr lang="ru-RU" altLang="en-US" sz="1100"/>
            <a:t> где </a:t>
          </a:r>
          <a:r>
            <a:rPr lang="en-US" altLang="ru-RU" sz="1100"/>
            <a:t>N</a:t>
          </a:r>
          <a:r>
            <a:rPr lang="en-US" altLang="ru-RU" sz="1100" baseline="-25000">
              <a:solidFill>
                <a:schemeClr val="tx1"/>
              </a:solidFill>
              <a:uFillTx/>
            </a:rPr>
            <a:t>P</a:t>
          </a:r>
          <a:r>
            <a:rPr lang="ru-RU" altLang="en-US" sz="1100" baseline="-25000">
              <a:solidFill>
                <a:schemeClr val="tx1"/>
              </a:solidFill>
              <a:uFillTx/>
            </a:rPr>
            <a:t>расс</a:t>
          </a:r>
          <a:r>
            <a:rPr lang="en-US" altLang="ru-RU" sz="1100"/>
            <a:t> </a:t>
          </a:r>
          <a:r>
            <a:rPr lang="ru-RU" altLang="en-US" sz="1100"/>
            <a:t>-</a:t>
          </a:r>
          <a:r>
            <a:rPr lang="en-US" altLang="ru-RU" sz="1100"/>
            <a:t> </a:t>
          </a:r>
          <a:r>
            <a:rPr lang="ru-RU" altLang="en-US" sz="1100"/>
            <a:t>рассчетное количество </a:t>
          </a:r>
          <a:r>
            <a:rPr lang="en-US" altLang="ru-RU" sz="1100"/>
            <a:t>Peringia ulvae</a:t>
          </a:r>
          <a:r>
            <a:rPr lang="ru-RU" altLang="en-US" sz="1100"/>
            <a:t>, </a:t>
          </a:r>
          <a:r>
            <a:rPr lang="en-US" altLang="ru-RU" sz="1100"/>
            <a:t>N</a:t>
          </a:r>
          <a:r>
            <a:rPr lang="ru-RU" altLang="en-US" sz="1100" baseline="-25000">
              <a:solidFill>
                <a:schemeClr val="tx1"/>
              </a:solidFill>
              <a:uFillTx/>
            </a:rPr>
            <a:t>общ</a:t>
          </a:r>
          <a:r>
            <a:rPr lang="ru-RU" altLang="en-US" sz="1100"/>
            <a:t> - суммарное количество гидробий обоих видов в пробе без учета выборки, </a:t>
          </a:r>
          <a:r>
            <a:rPr lang="en-US" altLang="ru-RU" sz="1100"/>
            <a:t>n</a:t>
          </a:r>
          <a:r>
            <a:rPr lang="en-US" altLang="ru-RU" sz="1100" baseline="-25000">
              <a:solidFill>
                <a:schemeClr val="tx1"/>
              </a:solidFill>
              <a:uFillTx/>
            </a:rPr>
            <a:t>P</a:t>
          </a:r>
          <a:r>
            <a:rPr lang="en-US" altLang="ru-RU" sz="1100"/>
            <a:t> </a:t>
          </a:r>
          <a:r>
            <a:rPr lang="ru-RU" altLang="en-US" sz="1100"/>
            <a:t>и </a:t>
          </a:r>
          <a:r>
            <a:rPr lang="en-US" altLang="ru-RU" sz="1100"/>
            <a:t>n</a:t>
          </a:r>
          <a:r>
            <a:rPr lang="en-US" altLang="ru-RU" sz="1100" baseline="-25000">
              <a:solidFill>
                <a:schemeClr val="tx1"/>
              </a:solidFill>
              <a:uFillTx/>
            </a:rPr>
            <a:t>E</a:t>
          </a:r>
          <a:r>
            <a:rPr lang="en-US" altLang="ru-RU" sz="1100"/>
            <a:t> - </a:t>
          </a:r>
          <a:r>
            <a:rPr lang="ru-RU" altLang="en-US" sz="1100"/>
            <a:t>количество </a:t>
          </a:r>
          <a:r>
            <a:rPr lang="en-US" altLang="ru-RU" sz="1100"/>
            <a:t>P. ulvae </a:t>
          </a:r>
          <a:r>
            <a:rPr lang="ru-RU" altLang="en-US" sz="1100"/>
            <a:t>и </a:t>
          </a:r>
          <a:r>
            <a:rPr lang="en-US" altLang="ru-RU" sz="1100"/>
            <a:t>E. ventrosa </a:t>
          </a:r>
          <a:r>
            <a:rPr lang="ru-RU" altLang="en-US" sz="1100"/>
            <a:t>в выборке соответственно. Аналогично вычислялась биомасса видов. В случае, если выборок было несколько за </a:t>
          </a:r>
          <a:r>
            <a:rPr lang="en-US" altLang="ru-RU" sz="1100"/>
            <a:t>n</a:t>
          </a:r>
          <a:r>
            <a:rPr lang="en-US" altLang="ru-RU" sz="1100" baseline="-25000">
              <a:solidFill>
                <a:schemeClr val="tx1"/>
              </a:solidFill>
              <a:uFillTx/>
            </a:rPr>
            <a:t>P</a:t>
          </a:r>
          <a:r>
            <a:rPr lang="en-US" altLang="ru-RU" sz="1100"/>
            <a:t> </a:t>
          </a:r>
          <a:r>
            <a:rPr lang="ru-RU" altLang="en-US" sz="1100"/>
            <a:t>и </a:t>
          </a:r>
          <a:r>
            <a:rPr lang="en-US" altLang="ru-RU" sz="1100"/>
            <a:t>n</a:t>
          </a:r>
          <a:r>
            <a:rPr lang="en-US" altLang="ru-RU" sz="1100" baseline="-25000">
              <a:solidFill>
                <a:schemeClr val="tx1"/>
              </a:solidFill>
              <a:uFillTx/>
            </a:rPr>
            <a:t>E</a:t>
          </a:r>
          <a:r>
            <a:rPr lang="en-US" altLang="ru-RU" sz="1100"/>
            <a:t> </a:t>
          </a:r>
          <a:r>
            <a:rPr lang="ru-RU" altLang="en-US" sz="1100"/>
            <a:t>принималась суммированная для двух выборок численность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56"/>
  <sheetViews>
    <sheetView tabSelected="1" topLeftCell="A309" zoomScale="59" zoomScaleNormal="59" workbookViewId="0">
      <selection activeCell="M326" sqref="M326:M348"/>
    </sheetView>
  </sheetViews>
  <sheetFormatPr defaultRowHeight="14.4"/>
  <cols>
    <col min="3" max="3" width="15" customWidth="1"/>
    <col min="5" max="5" width="17.109375" customWidth="1"/>
    <col min="6" max="6" width="11.109375" customWidth="1"/>
    <col min="9" max="9" width="13.77734375" customWidth="1"/>
    <col min="10" max="10" width="24.5546875" customWidth="1"/>
    <col min="11" max="11" width="19.21875" customWidth="1"/>
  </cols>
  <sheetData>
    <row r="1" spans="1:13" s="1" customForma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175</v>
      </c>
      <c r="M1" s="1" t="s">
        <v>208</v>
      </c>
    </row>
    <row r="2" spans="1:13">
      <c r="A2">
        <v>8</v>
      </c>
      <c r="B2">
        <v>3</v>
      </c>
      <c r="C2" t="s">
        <v>176</v>
      </c>
      <c r="E2" t="s">
        <v>11</v>
      </c>
      <c r="F2" t="s">
        <v>12</v>
      </c>
      <c r="H2">
        <v>11.456</v>
      </c>
      <c r="I2" t="s">
        <v>13</v>
      </c>
      <c r="J2" t="s">
        <v>14</v>
      </c>
      <c r="K2" t="s">
        <v>149</v>
      </c>
      <c r="L2">
        <v>30</v>
      </c>
      <c r="M2" t="s">
        <v>209</v>
      </c>
    </row>
    <row r="3" spans="1:13">
      <c r="A3">
        <v>8</v>
      </c>
      <c r="B3">
        <v>3</v>
      </c>
      <c r="C3" t="s">
        <v>176</v>
      </c>
      <c r="E3" t="s">
        <v>15</v>
      </c>
      <c r="F3" t="s">
        <v>16</v>
      </c>
      <c r="G3">
        <v>2</v>
      </c>
      <c r="H3">
        <v>2.5000000000000001E-2</v>
      </c>
      <c r="I3" t="s">
        <v>13</v>
      </c>
      <c r="J3" t="s">
        <v>14</v>
      </c>
      <c r="K3" t="s">
        <v>149</v>
      </c>
      <c r="L3">
        <v>30</v>
      </c>
      <c r="M3" t="s">
        <v>209</v>
      </c>
    </row>
    <row r="4" spans="1:13">
      <c r="A4">
        <v>8</v>
      </c>
      <c r="B4">
        <v>3</v>
      </c>
      <c r="C4" t="s">
        <v>176</v>
      </c>
      <c r="E4" t="s">
        <v>19</v>
      </c>
      <c r="F4" t="s">
        <v>20</v>
      </c>
      <c r="G4">
        <v>72</v>
      </c>
      <c r="H4">
        <v>0.372</v>
      </c>
      <c r="I4" t="s">
        <v>13</v>
      </c>
      <c r="J4" t="s">
        <v>21</v>
      </c>
      <c r="K4" t="s">
        <v>149</v>
      </c>
      <c r="L4">
        <v>30</v>
      </c>
      <c r="M4" t="s">
        <v>209</v>
      </c>
    </row>
    <row r="5" spans="1:13">
      <c r="A5">
        <v>8</v>
      </c>
      <c r="B5">
        <v>3</v>
      </c>
      <c r="C5" t="s">
        <v>176</v>
      </c>
      <c r="E5" t="s">
        <v>22</v>
      </c>
      <c r="F5" t="s">
        <v>23</v>
      </c>
      <c r="G5">
        <v>407</v>
      </c>
      <c r="H5">
        <v>3.4380000000000002</v>
      </c>
      <c r="I5" t="s">
        <v>13</v>
      </c>
      <c r="J5" t="s">
        <v>24</v>
      </c>
      <c r="K5" t="s">
        <v>161</v>
      </c>
      <c r="L5">
        <v>30</v>
      </c>
      <c r="M5" t="s">
        <v>209</v>
      </c>
    </row>
    <row r="6" spans="1:13">
      <c r="A6">
        <v>8</v>
      </c>
      <c r="B6">
        <v>3</v>
      </c>
      <c r="C6" t="s">
        <v>176</v>
      </c>
      <c r="E6" t="s">
        <v>25</v>
      </c>
      <c r="F6" t="s">
        <v>26</v>
      </c>
      <c r="G6">
        <v>51</v>
      </c>
      <c r="H6">
        <v>2.7E-2</v>
      </c>
      <c r="I6" t="s">
        <v>27</v>
      </c>
      <c r="J6" t="s">
        <v>14</v>
      </c>
      <c r="K6" t="s">
        <v>64</v>
      </c>
      <c r="L6">
        <v>30</v>
      </c>
      <c r="M6" t="s">
        <v>209</v>
      </c>
    </row>
    <row r="7" spans="1:13">
      <c r="A7">
        <v>8</v>
      </c>
      <c r="B7">
        <v>3</v>
      </c>
      <c r="C7" t="s">
        <v>176</v>
      </c>
      <c r="E7" t="s">
        <v>17</v>
      </c>
      <c r="F7" t="s">
        <v>18</v>
      </c>
      <c r="G7">
        <v>3</v>
      </c>
      <c r="H7">
        <v>4.0000000000000001E-3</v>
      </c>
      <c r="I7" t="s">
        <v>13</v>
      </c>
      <c r="J7" t="s">
        <v>14</v>
      </c>
      <c r="K7" t="s">
        <v>64</v>
      </c>
      <c r="L7">
        <v>30</v>
      </c>
      <c r="M7" t="s">
        <v>209</v>
      </c>
    </row>
    <row r="8" spans="1:13">
      <c r="A8">
        <v>8</v>
      </c>
      <c r="B8">
        <v>3</v>
      </c>
      <c r="C8" t="s">
        <v>176</v>
      </c>
      <c r="E8" t="s">
        <v>28</v>
      </c>
      <c r="F8" t="s">
        <v>29</v>
      </c>
      <c r="G8">
        <v>1</v>
      </c>
      <c r="H8">
        <v>1E-3</v>
      </c>
      <c r="I8" t="s">
        <v>27</v>
      </c>
      <c r="J8" t="s">
        <v>14</v>
      </c>
      <c r="K8" t="s">
        <v>64</v>
      </c>
      <c r="L8">
        <v>30</v>
      </c>
      <c r="M8" t="s">
        <v>209</v>
      </c>
    </row>
    <row r="9" spans="1:13">
      <c r="A9">
        <v>8</v>
      </c>
      <c r="B9">
        <v>3</v>
      </c>
      <c r="C9" t="s">
        <v>176</v>
      </c>
      <c r="E9" t="s">
        <v>30</v>
      </c>
      <c r="F9" t="s">
        <v>31</v>
      </c>
      <c r="G9">
        <v>1</v>
      </c>
      <c r="H9">
        <v>1E-3</v>
      </c>
      <c r="I9" t="s">
        <v>27</v>
      </c>
      <c r="J9" t="s">
        <v>14</v>
      </c>
      <c r="K9" t="s">
        <v>64</v>
      </c>
      <c r="L9">
        <v>30</v>
      </c>
      <c r="M9" t="s">
        <v>209</v>
      </c>
    </row>
    <row r="10" spans="1:13">
      <c r="A10">
        <v>8</v>
      </c>
      <c r="B10">
        <v>2</v>
      </c>
      <c r="C10" t="s">
        <v>177</v>
      </c>
      <c r="E10" t="s">
        <v>11</v>
      </c>
      <c r="F10" t="s">
        <v>12</v>
      </c>
      <c r="G10">
        <v>24</v>
      </c>
      <c r="H10">
        <v>6.8949999999999996</v>
      </c>
      <c r="I10" t="s">
        <v>13</v>
      </c>
      <c r="J10" t="s">
        <v>32</v>
      </c>
      <c r="K10" t="s">
        <v>149</v>
      </c>
      <c r="L10">
        <v>30</v>
      </c>
      <c r="M10" t="s">
        <v>209</v>
      </c>
    </row>
    <row r="11" spans="1:13">
      <c r="A11">
        <v>8</v>
      </c>
      <c r="B11">
        <v>2</v>
      </c>
      <c r="C11" t="s">
        <v>177</v>
      </c>
      <c r="E11" t="s">
        <v>33</v>
      </c>
      <c r="F11" t="s">
        <v>34</v>
      </c>
      <c r="G11">
        <v>3</v>
      </c>
      <c r="H11">
        <v>1.1990000000000001</v>
      </c>
      <c r="I11" t="s">
        <v>13</v>
      </c>
      <c r="J11" t="s">
        <v>32</v>
      </c>
      <c r="K11" t="s">
        <v>149</v>
      </c>
      <c r="L11">
        <v>30</v>
      </c>
      <c r="M11" t="s">
        <v>209</v>
      </c>
    </row>
    <row r="12" spans="1:13">
      <c r="A12">
        <v>8</v>
      </c>
      <c r="B12">
        <v>2</v>
      </c>
      <c r="C12" t="s">
        <v>177</v>
      </c>
      <c r="E12" t="s">
        <v>22</v>
      </c>
      <c r="F12" t="s">
        <v>23</v>
      </c>
      <c r="G12">
        <v>549</v>
      </c>
      <c r="H12">
        <v>1.266</v>
      </c>
      <c r="I12" t="s">
        <v>13</v>
      </c>
      <c r="J12" t="s">
        <v>35</v>
      </c>
      <c r="K12" t="s">
        <v>149</v>
      </c>
      <c r="L12">
        <v>30</v>
      </c>
      <c r="M12" t="s">
        <v>209</v>
      </c>
    </row>
    <row r="13" spans="1:13">
      <c r="A13">
        <v>8</v>
      </c>
      <c r="B13">
        <v>2</v>
      </c>
      <c r="C13" t="s">
        <v>177</v>
      </c>
      <c r="E13" t="s">
        <v>19</v>
      </c>
      <c r="F13" t="s">
        <v>20</v>
      </c>
      <c r="G13">
        <v>40</v>
      </c>
      <c r="H13">
        <v>6.5000000000000002E-2</v>
      </c>
      <c r="I13" t="s">
        <v>13</v>
      </c>
      <c r="J13" t="s">
        <v>35</v>
      </c>
      <c r="K13" t="s">
        <v>149</v>
      </c>
      <c r="L13">
        <v>30</v>
      </c>
      <c r="M13" t="s">
        <v>209</v>
      </c>
    </row>
    <row r="14" spans="1:13">
      <c r="A14">
        <v>8</v>
      </c>
      <c r="B14">
        <v>2</v>
      </c>
      <c r="C14" t="s">
        <v>177</v>
      </c>
      <c r="E14" t="s">
        <v>17</v>
      </c>
      <c r="F14" t="s">
        <v>18</v>
      </c>
      <c r="G14">
        <v>2</v>
      </c>
      <c r="H14">
        <v>3.0000000000000001E-3</v>
      </c>
      <c r="I14" t="s">
        <v>27</v>
      </c>
      <c r="J14" t="s">
        <v>32</v>
      </c>
      <c r="K14" t="s">
        <v>64</v>
      </c>
      <c r="L14">
        <v>30</v>
      </c>
      <c r="M14" t="s">
        <v>209</v>
      </c>
    </row>
    <row r="15" spans="1:13">
      <c r="A15">
        <v>8</v>
      </c>
      <c r="B15">
        <v>2</v>
      </c>
      <c r="C15" t="s">
        <v>177</v>
      </c>
      <c r="E15" t="s">
        <v>30</v>
      </c>
      <c r="F15" t="s">
        <v>31</v>
      </c>
      <c r="G15">
        <v>1</v>
      </c>
      <c r="H15">
        <v>1E-3</v>
      </c>
      <c r="I15" t="s">
        <v>27</v>
      </c>
      <c r="J15" t="s">
        <v>32</v>
      </c>
      <c r="K15" t="s">
        <v>64</v>
      </c>
      <c r="L15">
        <v>30</v>
      </c>
      <c r="M15" t="s">
        <v>209</v>
      </c>
    </row>
    <row r="16" spans="1:13">
      <c r="A16">
        <v>8</v>
      </c>
      <c r="B16">
        <v>2</v>
      </c>
      <c r="C16" t="s">
        <v>177</v>
      </c>
      <c r="E16" t="s">
        <v>25</v>
      </c>
      <c r="F16" t="s">
        <v>26</v>
      </c>
      <c r="G16">
        <v>101</v>
      </c>
      <c r="H16">
        <v>5.7000000000000002E-2</v>
      </c>
      <c r="I16" t="s">
        <v>27</v>
      </c>
      <c r="J16" t="s">
        <v>32</v>
      </c>
      <c r="K16" t="s">
        <v>64</v>
      </c>
      <c r="L16">
        <v>30</v>
      </c>
      <c r="M16" t="s">
        <v>209</v>
      </c>
    </row>
    <row r="17" spans="1:13">
      <c r="A17">
        <v>8</v>
      </c>
      <c r="B17">
        <v>1</v>
      </c>
      <c r="C17" t="s">
        <v>178</v>
      </c>
      <c r="E17" t="s">
        <v>28</v>
      </c>
      <c r="F17" t="s">
        <v>29</v>
      </c>
      <c r="G17">
        <v>1</v>
      </c>
      <c r="H17">
        <v>1.7000000000000001E-2</v>
      </c>
      <c r="I17" t="s">
        <v>27</v>
      </c>
      <c r="J17" t="s">
        <v>36</v>
      </c>
      <c r="K17" t="s">
        <v>149</v>
      </c>
      <c r="L17">
        <v>1</v>
      </c>
      <c r="M17" t="s">
        <v>209</v>
      </c>
    </row>
    <row r="18" spans="1:13">
      <c r="A18">
        <v>8</v>
      </c>
      <c r="B18">
        <v>1</v>
      </c>
      <c r="C18" t="s">
        <v>178</v>
      </c>
      <c r="E18" t="s">
        <v>33</v>
      </c>
      <c r="F18" t="s">
        <v>34</v>
      </c>
      <c r="G18">
        <v>16</v>
      </c>
      <c r="H18">
        <v>4.5949999999999998</v>
      </c>
      <c r="I18" t="s">
        <v>27</v>
      </c>
      <c r="J18" t="s">
        <v>36</v>
      </c>
      <c r="K18" t="s">
        <v>149</v>
      </c>
      <c r="L18">
        <v>1</v>
      </c>
      <c r="M18" t="s">
        <v>209</v>
      </c>
    </row>
    <row r="19" spans="1:13">
      <c r="A19">
        <v>8</v>
      </c>
      <c r="B19">
        <v>1</v>
      </c>
      <c r="C19" t="s">
        <v>178</v>
      </c>
      <c r="E19" t="s">
        <v>25</v>
      </c>
      <c r="F19" t="s">
        <v>26</v>
      </c>
      <c r="G19">
        <v>2149</v>
      </c>
      <c r="H19">
        <v>4.1589999999999998</v>
      </c>
      <c r="I19" t="s">
        <v>27</v>
      </c>
      <c r="J19" t="s">
        <v>36</v>
      </c>
      <c r="K19" t="s">
        <v>149</v>
      </c>
      <c r="L19">
        <v>1</v>
      </c>
      <c r="M19" t="s">
        <v>209</v>
      </c>
    </row>
    <row r="20" spans="1:13">
      <c r="A20">
        <v>8</v>
      </c>
      <c r="B20">
        <v>1</v>
      </c>
      <c r="C20" t="s">
        <v>178</v>
      </c>
      <c r="E20" t="s">
        <v>11</v>
      </c>
      <c r="F20" t="s">
        <v>12</v>
      </c>
      <c r="G20">
        <v>85</v>
      </c>
      <c r="H20">
        <v>24.600999999999999</v>
      </c>
      <c r="I20" t="s">
        <v>27</v>
      </c>
      <c r="J20" t="s">
        <v>37</v>
      </c>
      <c r="K20" t="s">
        <v>149</v>
      </c>
      <c r="L20">
        <v>1</v>
      </c>
      <c r="M20" t="s">
        <v>209</v>
      </c>
    </row>
    <row r="21" spans="1:13">
      <c r="A21">
        <v>8</v>
      </c>
      <c r="B21">
        <v>1</v>
      </c>
      <c r="C21" t="s">
        <v>178</v>
      </c>
      <c r="E21" t="s">
        <v>25</v>
      </c>
      <c r="F21" t="s">
        <v>26</v>
      </c>
      <c r="G21">
        <v>382</v>
      </c>
      <c r="H21">
        <v>0.10299999999999999</v>
      </c>
      <c r="I21" t="s">
        <v>27</v>
      </c>
      <c r="J21" t="s">
        <v>36</v>
      </c>
      <c r="K21" t="s">
        <v>64</v>
      </c>
      <c r="L21">
        <v>1</v>
      </c>
      <c r="M21" t="s">
        <v>209</v>
      </c>
    </row>
    <row r="22" spans="1:13">
      <c r="A22">
        <v>8</v>
      </c>
      <c r="B22">
        <v>1</v>
      </c>
      <c r="C22" t="s">
        <v>178</v>
      </c>
      <c r="E22" t="s">
        <v>30</v>
      </c>
      <c r="F22" t="s">
        <v>31</v>
      </c>
      <c r="G22">
        <v>2</v>
      </c>
      <c r="H22">
        <v>2E-3</v>
      </c>
      <c r="I22" t="s">
        <v>27</v>
      </c>
      <c r="J22" t="s">
        <v>37</v>
      </c>
      <c r="K22" t="s">
        <v>64</v>
      </c>
      <c r="L22">
        <v>1</v>
      </c>
      <c r="M22" t="s">
        <v>209</v>
      </c>
    </row>
    <row r="23" spans="1:13">
      <c r="A23">
        <v>8</v>
      </c>
      <c r="B23">
        <v>1</v>
      </c>
      <c r="C23" t="s">
        <v>178</v>
      </c>
      <c r="E23" t="s">
        <v>38</v>
      </c>
      <c r="F23" t="s">
        <v>39</v>
      </c>
      <c r="G23">
        <v>6</v>
      </c>
      <c r="H23">
        <v>3.0000000000000001E-3</v>
      </c>
      <c r="I23" t="s">
        <v>27</v>
      </c>
      <c r="J23" t="s">
        <v>37</v>
      </c>
      <c r="K23" t="s">
        <v>64</v>
      </c>
      <c r="L23">
        <v>1</v>
      </c>
      <c r="M23" t="s">
        <v>209</v>
      </c>
    </row>
    <row r="24" spans="1:13">
      <c r="A24">
        <v>8</v>
      </c>
      <c r="B24">
        <v>1</v>
      </c>
      <c r="C24" t="s">
        <v>178</v>
      </c>
      <c r="E24" t="s">
        <v>40</v>
      </c>
      <c r="F24" t="s">
        <v>41</v>
      </c>
      <c r="G24">
        <v>3</v>
      </c>
      <c r="H24">
        <v>2E-3</v>
      </c>
      <c r="I24" t="s">
        <v>27</v>
      </c>
      <c r="J24" t="s">
        <v>37</v>
      </c>
      <c r="K24" t="s">
        <v>64</v>
      </c>
      <c r="L24">
        <v>1</v>
      </c>
      <c r="M24" t="s">
        <v>209</v>
      </c>
    </row>
    <row r="25" spans="1:13">
      <c r="A25">
        <v>8</v>
      </c>
      <c r="B25">
        <v>1</v>
      </c>
      <c r="C25" t="s">
        <v>178</v>
      </c>
      <c r="E25" t="s">
        <v>17</v>
      </c>
      <c r="F25" t="s">
        <v>18</v>
      </c>
      <c r="G25">
        <v>4</v>
      </c>
      <c r="H25">
        <v>1E-3</v>
      </c>
      <c r="I25" t="s">
        <v>27</v>
      </c>
      <c r="J25" t="s">
        <v>37</v>
      </c>
      <c r="K25" t="s">
        <v>64</v>
      </c>
      <c r="L25">
        <v>1</v>
      </c>
      <c r="M25" t="s">
        <v>209</v>
      </c>
    </row>
    <row r="26" spans="1:13">
      <c r="A26">
        <v>16</v>
      </c>
      <c r="B26">
        <v>3</v>
      </c>
      <c r="C26" t="s">
        <v>179</v>
      </c>
      <c r="E26" t="s">
        <v>11</v>
      </c>
      <c r="F26" t="s">
        <v>12</v>
      </c>
      <c r="G26">
        <v>18</v>
      </c>
      <c r="H26">
        <v>4.6310000000000002</v>
      </c>
      <c r="I26" t="s">
        <v>13</v>
      </c>
      <c r="J26" t="s">
        <v>42</v>
      </c>
      <c r="K26" t="s">
        <v>149</v>
      </c>
      <c r="L26">
        <v>30</v>
      </c>
      <c r="M26" t="s">
        <v>209</v>
      </c>
    </row>
    <row r="27" spans="1:13">
      <c r="A27">
        <v>16</v>
      </c>
      <c r="B27">
        <v>3</v>
      </c>
      <c r="C27" t="s">
        <v>179</v>
      </c>
      <c r="E27" t="s">
        <v>30</v>
      </c>
      <c r="F27" t="s">
        <v>31</v>
      </c>
      <c r="G27">
        <v>1</v>
      </c>
      <c r="H27">
        <v>2E-3</v>
      </c>
      <c r="I27" t="s">
        <v>13</v>
      </c>
      <c r="J27" t="s">
        <v>42</v>
      </c>
      <c r="K27" t="s">
        <v>149</v>
      </c>
      <c r="L27">
        <v>30</v>
      </c>
      <c r="M27" t="s">
        <v>209</v>
      </c>
    </row>
    <row r="28" spans="1:13">
      <c r="A28">
        <v>16</v>
      </c>
      <c r="B28">
        <v>3</v>
      </c>
      <c r="C28" t="s">
        <v>179</v>
      </c>
      <c r="E28" t="s">
        <v>43</v>
      </c>
      <c r="F28" t="s">
        <v>44</v>
      </c>
      <c r="G28">
        <v>1</v>
      </c>
      <c r="H28">
        <v>1E-3</v>
      </c>
      <c r="I28" t="s">
        <v>13</v>
      </c>
      <c r="J28" t="s">
        <v>42</v>
      </c>
      <c r="K28" t="s">
        <v>149</v>
      </c>
      <c r="L28">
        <v>30</v>
      </c>
      <c r="M28" t="s">
        <v>209</v>
      </c>
    </row>
    <row r="29" spans="1:13">
      <c r="A29">
        <v>16</v>
      </c>
      <c r="B29">
        <v>3</v>
      </c>
      <c r="C29" t="s">
        <v>179</v>
      </c>
      <c r="E29" t="s">
        <v>17</v>
      </c>
      <c r="F29" t="s">
        <v>18</v>
      </c>
      <c r="G29">
        <v>3</v>
      </c>
      <c r="H29">
        <v>5.0000000000000001E-3</v>
      </c>
      <c r="I29" t="s">
        <v>13</v>
      </c>
      <c r="J29" t="s">
        <v>42</v>
      </c>
      <c r="K29" t="s">
        <v>149</v>
      </c>
      <c r="L29">
        <v>30</v>
      </c>
      <c r="M29" t="s">
        <v>209</v>
      </c>
    </row>
    <row r="30" spans="1:13">
      <c r="A30">
        <v>16</v>
      </c>
      <c r="B30">
        <v>3</v>
      </c>
      <c r="C30" t="s">
        <v>179</v>
      </c>
      <c r="E30" t="s">
        <v>19</v>
      </c>
      <c r="F30" t="s">
        <v>20</v>
      </c>
      <c r="G30">
        <v>18</v>
      </c>
      <c r="H30">
        <v>7.5999999999999998E-2</v>
      </c>
      <c r="I30" t="s">
        <v>13</v>
      </c>
      <c r="J30" t="s">
        <v>45</v>
      </c>
      <c r="K30" t="s">
        <v>149</v>
      </c>
      <c r="L30">
        <v>30</v>
      </c>
      <c r="M30" t="s">
        <v>209</v>
      </c>
    </row>
    <row r="31" spans="1:13">
      <c r="A31">
        <v>16</v>
      </c>
      <c r="B31">
        <v>3</v>
      </c>
      <c r="C31" t="s">
        <v>179</v>
      </c>
      <c r="E31" t="s">
        <v>22</v>
      </c>
      <c r="F31" t="s">
        <v>23</v>
      </c>
      <c r="G31">
        <v>986</v>
      </c>
      <c r="H31">
        <v>5.8310000000000004</v>
      </c>
      <c r="I31" t="s">
        <v>13</v>
      </c>
      <c r="J31" t="s">
        <v>45</v>
      </c>
      <c r="K31" t="s">
        <v>149</v>
      </c>
      <c r="L31">
        <v>30</v>
      </c>
      <c r="M31" t="s">
        <v>209</v>
      </c>
    </row>
    <row r="32" spans="1:13">
      <c r="A32">
        <v>16</v>
      </c>
      <c r="B32">
        <v>3</v>
      </c>
      <c r="C32" t="s">
        <v>179</v>
      </c>
      <c r="E32" t="s">
        <v>46</v>
      </c>
      <c r="F32" t="s">
        <v>47</v>
      </c>
      <c r="G32">
        <v>5</v>
      </c>
      <c r="H32">
        <v>2E-3</v>
      </c>
      <c r="I32" t="s">
        <v>27</v>
      </c>
      <c r="J32" t="s">
        <v>48</v>
      </c>
      <c r="K32" t="s">
        <v>64</v>
      </c>
      <c r="L32">
        <v>30</v>
      </c>
      <c r="M32" t="s">
        <v>209</v>
      </c>
    </row>
    <row r="33" spans="1:13">
      <c r="A33">
        <v>16</v>
      </c>
      <c r="B33">
        <v>3</v>
      </c>
      <c r="C33" t="s">
        <v>179</v>
      </c>
      <c r="E33" t="s">
        <v>49</v>
      </c>
      <c r="F33" t="s">
        <v>50</v>
      </c>
      <c r="G33">
        <v>1</v>
      </c>
      <c r="H33">
        <v>2E-3</v>
      </c>
      <c r="I33" t="s">
        <v>27</v>
      </c>
      <c r="J33" t="s">
        <v>42</v>
      </c>
      <c r="K33" t="s">
        <v>64</v>
      </c>
      <c r="L33">
        <v>30</v>
      </c>
      <c r="M33" t="s">
        <v>209</v>
      </c>
    </row>
    <row r="34" spans="1:13">
      <c r="A34">
        <v>16</v>
      </c>
      <c r="B34">
        <v>3</v>
      </c>
      <c r="C34" t="s">
        <v>179</v>
      </c>
      <c r="E34" t="s">
        <v>51</v>
      </c>
      <c r="F34" t="s">
        <v>52</v>
      </c>
      <c r="G34">
        <v>1</v>
      </c>
      <c r="H34">
        <v>2E-3</v>
      </c>
      <c r="I34" t="s">
        <v>27</v>
      </c>
      <c r="J34" t="s">
        <v>42</v>
      </c>
      <c r="K34" t="s">
        <v>64</v>
      </c>
      <c r="L34">
        <v>30</v>
      </c>
      <c r="M34" t="s">
        <v>209</v>
      </c>
    </row>
    <row r="35" spans="1:13">
      <c r="A35">
        <v>16</v>
      </c>
      <c r="B35">
        <v>3</v>
      </c>
      <c r="C35" t="s">
        <v>179</v>
      </c>
      <c r="E35" t="s">
        <v>38</v>
      </c>
      <c r="F35" t="s">
        <v>39</v>
      </c>
      <c r="G35">
        <v>1</v>
      </c>
      <c r="H35">
        <v>1E-3</v>
      </c>
      <c r="I35" t="s">
        <v>27</v>
      </c>
      <c r="J35" t="s">
        <v>42</v>
      </c>
      <c r="K35" t="s">
        <v>64</v>
      </c>
      <c r="L35">
        <v>30</v>
      </c>
      <c r="M35" t="s">
        <v>209</v>
      </c>
    </row>
    <row r="36" spans="1:13">
      <c r="A36">
        <v>16</v>
      </c>
      <c r="B36">
        <v>3</v>
      </c>
      <c r="C36" t="s">
        <v>179</v>
      </c>
      <c r="E36" t="s">
        <v>40</v>
      </c>
      <c r="F36" t="s">
        <v>41</v>
      </c>
      <c r="G36">
        <v>1</v>
      </c>
      <c r="H36">
        <v>1E-3</v>
      </c>
      <c r="I36" t="s">
        <v>27</v>
      </c>
      <c r="J36" t="s">
        <v>42</v>
      </c>
      <c r="K36" t="s">
        <v>64</v>
      </c>
      <c r="L36">
        <v>30</v>
      </c>
      <c r="M36" t="s">
        <v>209</v>
      </c>
    </row>
    <row r="37" spans="1:13">
      <c r="A37">
        <v>16</v>
      </c>
      <c r="B37">
        <v>3</v>
      </c>
      <c r="C37" t="s">
        <v>179</v>
      </c>
      <c r="E37" t="s">
        <v>25</v>
      </c>
      <c r="F37" t="s">
        <v>26</v>
      </c>
      <c r="G37">
        <v>9</v>
      </c>
      <c r="H37">
        <v>8.0000000000000002E-3</v>
      </c>
      <c r="I37" t="s">
        <v>27</v>
      </c>
      <c r="J37" t="s">
        <v>162</v>
      </c>
      <c r="K37" t="s">
        <v>64</v>
      </c>
      <c r="L37">
        <v>30</v>
      </c>
      <c r="M37" t="s">
        <v>209</v>
      </c>
    </row>
    <row r="38" spans="1:13">
      <c r="A38">
        <v>16</v>
      </c>
      <c r="B38">
        <v>3</v>
      </c>
      <c r="C38" t="s">
        <v>179</v>
      </c>
      <c r="E38" t="s">
        <v>17</v>
      </c>
      <c r="F38" t="s">
        <v>50</v>
      </c>
      <c r="G38">
        <v>7</v>
      </c>
      <c r="H38">
        <v>6.0000000000000001E-3</v>
      </c>
      <c r="I38" t="s">
        <v>27</v>
      </c>
      <c r="J38" t="s">
        <v>163</v>
      </c>
      <c r="K38" t="s">
        <v>64</v>
      </c>
      <c r="L38">
        <v>30</v>
      </c>
      <c r="M38" t="s">
        <v>209</v>
      </c>
    </row>
    <row r="39" spans="1:13">
      <c r="A39">
        <v>16</v>
      </c>
      <c r="B39">
        <v>2</v>
      </c>
      <c r="C39" t="s">
        <v>180</v>
      </c>
      <c r="E39" t="s">
        <v>11</v>
      </c>
      <c r="F39" t="s">
        <v>12</v>
      </c>
      <c r="G39">
        <v>15</v>
      </c>
      <c r="H39">
        <v>3.28</v>
      </c>
      <c r="I39" t="s">
        <v>13</v>
      </c>
      <c r="J39" t="s">
        <v>53</v>
      </c>
      <c r="K39" t="s">
        <v>149</v>
      </c>
      <c r="L39">
        <v>30</v>
      </c>
      <c r="M39" t="s">
        <v>209</v>
      </c>
    </row>
    <row r="40" spans="1:13">
      <c r="A40">
        <v>16</v>
      </c>
      <c r="B40">
        <v>2</v>
      </c>
      <c r="C40" t="s">
        <v>180</v>
      </c>
      <c r="E40" t="s">
        <v>33</v>
      </c>
      <c r="F40" t="s">
        <v>34</v>
      </c>
      <c r="G40">
        <v>2</v>
      </c>
      <c r="H40">
        <v>1.952</v>
      </c>
      <c r="I40" t="s">
        <v>13</v>
      </c>
      <c r="J40" t="s">
        <v>53</v>
      </c>
      <c r="K40" t="s">
        <v>149</v>
      </c>
      <c r="L40">
        <v>30</v>
      </c>
      <c r="M40" t="s">
        <v>209</v>
      </c>
    </row>
    <row r="41" spans="1:13">
      <c r="A41">
        <v>16</v>
      </c>
      <c r="B41">
        <v>2</v>
      </c>
      <c r="C41" t="s">
        <v>180</v>
      </c>
      <c r="E41" t="s">
        <v>30</v>
      </c>
      <c r="F41" t="s">
        <v>31</v>
      </c>
      <c r="G41">
        <v>1</v>
      </c>
      <c r="H41">
        <v>3.0000000000000001E-3</v>
      </c>
      <c r="I41" t="s">
        <v>13</v>
      </c>
      <c r="J41" t="s">
        <v>53</v>
      </c>
      <c r="K41" t="s">
        <v>149</v>
      </c>
      <c r="L41">
        <v>30</v>
      </c>
      <c r="M41" t="s">
        <v>209</v>
      </c>
    </row>
    <row r="42" spans="1:13">
      <c r="A42">
        <v>16</v>
      </c>
      <c r="B42">
        <v>2</v>
      </c>
      <c r="C42" t="s">
        <v>180</v>
      </c>
      <c r="E42" t="s">
        <v>38</v>
      </c>
      <c r="F42" t="s">
        <v>39</v>
      </c>
      <c r="G42">
        <v>1</v>
      </c>
      <c r="H42">
        <v>2E-3</v>
      </c>
      <c r="I42" t="s">
        <v>13</v>
      </c>
      <c r="J42" t="s">
        <v>53</v>
      </c>
      <c r="K42" t="s">
        <v>149</v>
      </c>
      <c r="L42">
        <v>30</v>
      </c>
      <c r="M42" t="s">
        <v>209</v>
      </c>
    </row>
    <row r="43" spans="1:13">
      <c r="A43">
        <v>16</v>
      </c>
      <c r="B43">
        <v>2</v>
      </c>
      <c r="C43" t="s">
        <v>180</v>
      </c>
      <c r="E43" t="s">
        <v>17</v>
      </c>
      <c r="F43" t="s">
        <v>18</v>
      </c>
      <c r="G43">
        <v>15</v>
      </c>
      <c r="H43">
        <v>1.0999999999999999E-2</v>
      </c>
      <c r="I43" t="s">
        <v>13</v>
      </c>
      <c r="J43" t="s">
        <v>53</v>
      </c>
      <c r="K43" t="s">
        <v>149</v>
      </c>
      <c r="L43">
        <v>30</v>
      </c>
      <c r="M43" t="s">
        <v>209</v>
      </c>
    </row>
    <row r="44" spans="1:13">
      <c r="A44">
        <v>16</v>
      </c>
      <c r="B44">
        <v>2</v>
      </c>
      <c r="C44" t="s">
        <v>180</v>
      </c>
      <c r="E44" t="s">
        <v>40</v>
      </c>
      <c r="F44" t="s">
        <v>41</v>
      </c>
      <c r="G44">
        <v>5</v>
      </c>
      <c r="H44">
        <v>6.0000000000000001E-3</v>
      </c>
      <c r="I44" t="s">
        <v>13</v>
      </c>
      <c r="J44" t="s">
        <v>53</v>
      </c>
      <c r="K44" t="s">
        <v>149</v>
      </c>
      <c r="L44">
        <v>30</v>
      </c>
      <c r="M44" t="s">
        <v>209</v>
      </c>
    </row>
    <row r="45" spans="1:13">
      <c r="A45">
        <v>16</v>
      </c>
      <c r="B45">
        <v>2</v>
      </c>
      <c r="C45" t="s">
        <v>180</v>
      </c>
      <c r="E45" t="s">
        <v>19</v>
      </c>
      <c r="F45" t="s">
        <v>20</v>
      </c>
      <c r="G45">
        <v>93</v>
      </c>
      <c r="H45">
        <v>0.187</v>
      </c>
      <c r="I45" t="s">
        <v>13</v>
      </c>
      <c r="J45" t="s">
        <v>54</v>
      </c>
      <c r="K45" t="s">
        <v>149</v>
      </c>
      <c r="L45">
        <v>30</v>
      </c>
      <c r="M45" t="s">
        <v>209</v>
      </c>
    </row>
    <row r="46" spans="1:13">
      <c r="A46">
        <v>16</v>
      </c>
      <c r="B46">
        <v>2</v>
      </c>
      <c r="C46" t="s">
        <v>180</v>
      </c>
      <c r="E46" t="s">
        <v>22</v>
      </c>
      <c r="F46" t="s">
        <v>23</v>
      </c>
      <c r="G46">
        <v>1266</v>
      </c>
      <c r="H46">
        <v>3.992</v>
      </c>
      <c r="I46" t="s">
        <v>13</v>
      </c>
      <c r="J46" t="s">
        <v>54</v>
      </c>
      <c r="K46" t="s">
        <v>149</v>
      </c>
      <c r="L46">
        <v>30</v>
      </c>
      <c r="M46" t="s">
        <v>209</v>
      </c>
    </row>
    <row r="47" spans="1:13">
      <c r="A47">
        <v>16</v>
      </c>
      <c r="B47">
        <v>2</v>
      </c>
      <c r="C47" t="s">
        <v>180</v>
      </c>
      <c r="E47" t="s">
        <v>38</v>
      </c>
      <c r="F47" t="s">
        <v>39</v>
      </c>
      <c r="G47">
        <v>1</v>
      </c>
      <c r="H47">
        <v>2E-3</v>
      </c>
      <c r="I47" t="s">
        <v>13</v>
      </c>
      <c r="J47" t="s">
        <v>53</v>
      </c>
      <c r="K47" t="s">
        <v>149</v>
      </c>
      <c r="L47">
        <v>30</v>
      </c>
      <c r="M47" t="s">
        <v>209</v>
      </c>
    </row>
    <row r="48" spans="1:13">
      <c r="A48">
        <v>16</v>
      </c>
      <c r="B48">
        <v>2</v>
      </c>
      <c r="C48" t="s">
        <v>180</v>
      </c>
      <c r="E48" t="s">
        <v>30</v>
      </c>
      <c r="F48" t="s">
        <v>31</v>
      </c>
      <c r="G48">
        <v>1</v>
      </c>
      <c r="H48">
        <v>2E-3</v>
      </c>
      <c r="I48" t="s">
        <v>13</v>
      </c>
      <c r="J48" t="s">
        <v>54</v>
      </c>
      <c r="K48" t="s">
        <v>64</v>
      </c>
      <c r="L48">
        <v>30</v>
      </c>
      <c r="M48" t="s">
        <v>209</v>
      </c>
    </row>
    <row r="49" spans="1:13">
      <c r="A49">
        <v>16</v>
      </c>
      <c r="B49">
        <v>2</v>
      </c>
      <c r="C49" t="s">
        <v>180</v>
      </c>
      <c r="E49" t="s">
        <v>17</v>
      </c>
      <c r="F49" t="s">
        <v>18</v>
      </c>
      <c r="G49">
        <v>12</v>
      </c>
      <c r="H49">
        <v>6.0000000000000001E-3</v>
      </c>
      <c r="I49" t="s">
        <v>13</v>
      </c>
      <c r="J49" t="s">
        <v>54</v>
      </c>
      <c r="K49" t="s">
        <v>64</v>
      </c>
      <c r="L49">
        <v>30</v>
      </c>
      <c r="M49" t="s">
        <v>209</v>
      </c>
    </row>
    <row r="50" spans="1:13">
      <c r="A50">
        <v>16</v>
      </c>
      <c r="B50">
        <v>2</v>
      </c>
      <c r="C50" t="s">
        <v>180</v>
      </c>
      <c r="E50" t="s">
        <v>40</v>
      </c>
      <c r="F50" t="s">
        <v>41</v>
      </c>
      <c r="G50">
        <v>1</v>
      </c>
      <c r="H50">
        <v>1E-3</v>
      </c>
      <c r="I50" t="s">
        <v>13</v>
      </c>
      <c r="J50" t="s">
        <v>53</v>
      </c>
      <c r="K50" t="s">
        <v>64</v>
      </c>
      <c r="L50">
        <v>30</v>
      </c>
      <c r="M50" t="s">
        <v>209</v>
      </c>
    </row>
    <row r="51" spans="1:13">
      <c r="A51">
        <v>16</v>
      </c>
      <c r="B51">
        <v>2</v>
      </c>
      <c r="C51" t="s">
        <v>180</v>
      </c>
      <c r="E51" t="s">
        <v>22</v>
      </c>
      <c r="F51" t="s">
        <v>23</v>
      </c>
      <c r="G51">
        <v>9</v>
      </c>
      <c r="H51">
        <v>7.0000000000000001E-3</v>
      </c>
      <c r="I51" t="s">
        <v>13</v>
      </c>
      <c r="J51" t="s">
        <v>54</v>
      </c>
      <c r="K51" t="s">
        <v>64</v>
      </c>
      <c r="L51">
        <v>30</v>
      </c>
      <c r="M51" t="s">
        <v>209</v>
      </c>
    </row>
    <row r="52" spans="1:13">
      <c r="A52">
        <v>16</v>
      </c>
      <c r="B52">
        <v>1</v>
      </c>
      <c r="C52" t="s">
        <v>181</v>
      </c>
      <c r="E52" t="s">
        <v>25</v>
      </c>
      <c r="F52" t="s">
        <v>26</v>
      </c>
      <c r="G52">
        <v>16</v>
      </c>
      <c r="H52">
        <v>1.0999999999999999E-2</v>
      </c>
      <c r="I52" t="s">
        <v>27</v>
      </c>
      <c r="J52" t="s">
        <v>37</v>
      </c>
      <c r="K52" t="s">
        <v>64</v>
      </c>
      <c r="L52">
        <v>1</v>
      </c>
      <c r="M52" t="s">
        <v>209</v>
      </c>
    </row>
    <row r="53" spans="1:13">
      <c r="A53">
        <v>16</v>
      </c>
      <c r="B53">
        <v>1</v>
      </c>
      <c r="C53" t="s">
        <v>181</v>
      </c>
      <c r="E53" t="s">
        <v>30</v>
      </c>
      <c r="F53" t="s">
        <v>31</v>
      </c>
      <c r="G53">
        <v>1</v>
      </c>
      <c r="H53">
        <v>4.0000000000000001E-3</v>
      </c>
      <c r="I53" t="s">
        <v>27</v>
      </c>
      <c r="J53" t="s">
        <v>37</v>
      </c>
      <c r="K53" t="s">
        <v>64</v>
      </c>
      <c r="L53">
        <v>1</v>
      </c>
      <c r="M53" t="s">
        <v>209</v>
      </c>
    </row>
    <row r="54" spans="1:13">
      <c r="A54">
        <v>16</v>
      </c>
      <c r="B54">
        <v>1</v>
      </c>
      <c r="C54" t="s">
        <v>181</v>
      </c>
      <c r="E54" t="s">
        <v>17</v>
      </c>
      <c r="F54" t="s">
        <v>18</v>
      </c>
      <c r="G54">
        <v>23</v>
      </c>
      <c r="H54">
        <v>1.0999999999999999E-2</v>
      </c>
      <c r="I54" t="s">
        <v>27</v>
      </c>
      <c r="J54" t="s">
        <v>37</v>
      </c>
      <c r="K54" t="s">
        <v>64</v>
      </c>
      <c r="L54">
        <v>1</v>
      </c>
      <c r="M54" t="s">
        <v>209</v>
      </c>
    </row>
    <row r="55" spans="1:13">
      <c r="A55">
        <v>16</v>
      </c>
      <c r="B55">
        <v>1</v>
      </c>
      <c r="C55" t="s">
        <v>181</v>
      </c>
      <c r="E55" t="s">
        <v>40</v>
      </c>
      <c r="F55" t="s">
        <v>41</v>
      </c>
      <c r="G55">
        <v>4</v>
      </c>
      <c r="H55">
        <v>5.0000000000000001E-3</v>
      </c>
      <c r="I55" t="s">
        <v>27</v>
      </c>
      <c r="J55" t="s">
        <v>37</v>
      </c>
      <c r="K55" t="s">
        <v>64</v>
      </c>
      <c r="L55">
        <v>1</v>
      </c>
      <c r="M55" t="s">
        <v>209</v>
      </c>
    </row>
    <row r="56" spans="1:13">
      <c r="A56">
        <v>16</v>
      </c>
      <c r="B56">
        <v>1</v>
      </c>
      <c r="C56" t="s">
        <v>181</v>
      </c>
      <c r="E56" t="s">
        <v>43</v>
      </c>
      <c r="F56" t="s">
        <v>44</v>
      </c>
      <c r="G56">
        <v>3</v>
      </c>
      <c r="H56">
        <v>1E-3</v>
      </c>
      <c r="I56" t="s">
        <v>27</v>
      </c>
      <c r="J56" t="s">
        <v>37</v>
      </c>
      <c r="K56" t="s">
        <v>64</v>
      </c>
      <c r="L56">
        <v>1</v>
      </c>
      <c r="M56" t="s">
        <v>209</v>
      </c>
    </row>
    <row r="57" spans="1:13">
      <c r="A57">
        <v>16</v>
      </c>
      <c r="B57">
        <v>1</v>
      </c>
      <c r="C57" t="s">
        <v>181</v>
      </c>
      <c r="E57" t="s">
        <v>38</v>
      </c>
      <c r="F57" t="s">
        <v>39</v>
      </c>
      <c r="G57">
        <v>4</v>
      </c>
      <c r="H57">
        <v>3.0000000000000001E-3</v>
      </c>
      <c r="I57" t="s">
        <v>27</v>
      </c>
      <c r="J57" t="s">
        <v>37</v>
      </c>
      <c r="K57" t="s">
        <v>64</v>
      </c>
      <c r="L57">
        <v>1</v>
      </c>
      <c r="M57" t="s">
        <v>209</v>
      </c>
    </row>
    <row r="58" spans="1:13">
      <c r="A58">
        <v>16</v>
      </c>
      <c r="B58">
        <v>1</v>
      </c>
      <c r="C58" t="s">
        <v>181</v>
      </c>
      <c r="E58" t="s">
        <v>46</v>
      </c>
      <c r="F58" t="s">
        <v>47</v>
      </c>
      <c r="G58">
        <v>1</v>
      </c>
      <c r="H58">
        <v>1E-3</v>
      </c>
      <c r="I58" t="s">
        <v>27</v>
      </c>
      <c r="J58" t="s">
        <v>37</v>
      </c>
      <c r="K58" t="s">
        <v>64</v>
      </c>
      <c r="L58">
        <v>1</v>
      </c>
      <c r="M58" t="s">
        <v>209</v>
      </c>
    </row>
    <row r="59" spans="1:13">
      <c r="A59">
        <v>16</v>
      </c>
      <c r="B59">
        <v>1</v>
      </c>
      <c r="C59" t="s">
        <v>181</v>
      </c>
      <c r="E59" t="s">
        <v>51</v>
      </c>
      <c r="F59" t="s">
        <v>52</v>
      </c>
      <c r="G59">
        <v>2</v>
      </c>
      <c r="H59">
        <v>1E-3</v>
      </c>
      <c r="I59" t="s">
        <v>27</v>
      </c>
      <c r="J59" t="s">
        <v>37</v>
      </c>
      <c r="K59" t="s">
        <v>161</v>
      </c>
      <c r="L59">
        <v>1</v>
      </c>
      <c r="M59" t="s">
        <v>209</v>
      </c>
    </row>
    <row r="60" spans="1:13">
      <c r="A60">
        <v>16</v>
      </c>
      <c r="B60">
        <v>1</v>
      </c>
      <c r="C60" t="s">
        <v>181</v>
      </c>
      <c r="E60" t="s">
        <v>11</v>
      </c>
      <c r="F60" t="s">
        <v>12</v>
      </c>
      <c r="G60">
        <v>59</v>
      </c>
      <c r="H60">
        <v>13.603</v>
      </c>
      <c r="I60" t="s">
        <v>27</v>
      </c>
      <c r="J60" t="s">
        <v>55</v>
      </c>
      <c r="K60" t="s">
        <v>149</v>
      </c>
      <c r="L60">
        <v>1</v>
      </c>
      <c r="M60" t="s">
        <v>209</v>
      </c>
    </row>
    <row r="61" spans="1:13">
      <c r="A61">
        <v>16</v>
      </c>
      <c r="B61">
        <v>1</v>
      </c>
      <c r="C61" t="s">
        <v>181</v>
      </c>
      <c r="E61" t="s">
        <v>38</v>
      </c>
      <c r="F61" t="s">
        <v>39</v>
      </c>
      <c r="G61">
        <v>1</v>
      </c>
      <c r="H61">
        <v>1E-3</v>
      </c>
      <c r="I61" t="s">
        <v>27</v>
      </c>
      <c r="J61" t="s">
        <v>37</v>
      </c>
      <c r="K61" t="s">
        <v>149</v>
      </c>
      <c r="L61">
        <v>1</v>
      </c>
      <c r="M61" t="s">
        <v>209</v>
      </c>
    </row>
    <row r="62" spans="1:13">
      <c r="A62">
        <v>16</v>
      </c>
      <c r="B62">
        <v>1</v>
      </c>
      <c r="C62" t="s">
        <v>181</v>
      </c>
      <c r="E62" t="s">
        <v>17</v>
      </c>
      <c r="F62" t="s">
        <v>18</v>
      </c>
      <c r="G62">
        <v>2</v>
      </c>
      <c r="H62">
        <v>1E-3</v>
      </c>
      <c r="I62" t="s">
        <v>27</v>
      </c>
      <c r="J62" t="s">
        <v>37</v>
      </c>
      <c r="K62" t="s">
        <v>149</v>
      </c>
      <c r="L62">
        <v>1</v>
      </c>
      <c r="M62" t="s">
        <v>209</v>
      </c>
    </row>
    <row r="63" spans="1:13">
      <c r="A63">
        <v>16</v>
      </c>
      <c r="B63">
        <v>1</v>
      </c>
      <c r="C63" t="s">
        <v>181</v>
      </c>
      <c r="E63" t="s">
        <v>25</v>
      </c>
      <c r="F63" t="s">
        <v>26</v>
      </c>
      <c r="G63">
        <v>3729</v>
      </c>
      <c r="H63">
        <v>7.81</v>
      </c>
      <c r="I63" t="s">
        <v>27</v>
      </c>
      <c r="J63" t="s">
        <v>37</v>
      </c>
      <c r="K63" t="s">
        <v>149</v>
      </c>
      <c r="L63">
        <v>1</v>
      </c>
      <c r="M63" t="s">
        <v>209</v>
      </c>
    </row>
    <row r="64" spans="1:13">
      <c r="A64">
        <v>16</v>
      </c>
      <c r="B64">
        <v>1</v>
      </c>
      <c r="C64" t="s">
        <v>181</v>
      </c>
      <c r="E64" t="s">
        <v>40</v>
      </c>
      <c r="F64" t="s">
        <v>41</v>
      </c>
      <c r="G64">
        <v>1</v>
      </c>
      <c r="H64">
        <v>1E-3</v>
      </c>
      <c r="I64" t="s">
        <v>27</v>
      </c>
      <c r="J64" t="s">
        <v>37</v>
      </c>
      <c r="K64" t="s">
        <v>149</v>
      </c>
      <c r="L64">
        <v>1</v>
      </c>
      <c r="M64" t="s">
        <v>209</v>
      </c>
    </row>
    <row r="65" spans="1:13">
      <c r="A65">
        <v>17</v>
      </c>
      <c r="B65">
        <v>3</v>
      </c>
      <c r="C65" t="s">
        <v>182</v>
      </c>
      <c r="E65" t="s">
        <v>11</v>
      </c>
      <c r="F65" t="s">
        <v>12</v>
      </c>
      <c r="G65">
        <v>5</v>
      </c>
      <c r="H65">
        <v>0.61399999999999999</v>
      </c>
      <c r="I65" t="s">
        <v>13</v>
      </c>
      <c r="J65" t="s">
        <v>56</v>
      </c>
      <c r="K65" t="s">
        <v>149</v>
      </c>
      <c r="L65">
        <v>30</v>
      </c>
      <c r="M65" t="s">
        <v>209</v>
      </c>
    </row>
    <row r="66" spans="1:13">
      <c r="A66">
        <v>17</v>
      </c>
      <c r="B66">
        <v>3</v>
      </c>
      <c r="C66" t="s">
        <v>182</v>
      </c>
      <c r="E66" t="s">
        <v>30</v>
      </c>
      <c r="F66" t="s">
        <v>31</v>
      </c>
      <c r="G66">
        <v>1</v>
      </c>
      <c r="H66">
        <v>2E-3</v>
      </c>
      <c r="I66" t="s">
        <v>13</v>
      </c>
      <c r="J66" t="s">
        <v>56</v>
      </c>
      <c r="K66" t="s">
        <v>149</v>
      </c>
      <c r="L66">
        <v>30</v>
      </c>
      <c r="M66" t="s">
        <v>209</v>
      </c>
    </row>
    <row r="67" spans="1:13">
      <c r="A67">
        <v>17</v>
      </c>
      <c r="B67">
        <v>3</v>
      </c>
      <c r="C67" t="s">
        <v>182</v>
      </c>
      <c r="E67" t="s">
        <v>51</v>
      </c>
      <c r="F67" t="s">
        <v>52</v>
      </c>
      <c r="G67">
        <v>1</v>
      </c>
      <c r="H67">
        <v>1E-3</v>
      </c>
      <c r="I67" t="s">
        <v>13</v>
      </c>
      <c r="J67" t="s">
        <v>56</v>
      </c>
      <c r="K67" t="s">
        <v>149</v>
      </c>
      <c r="L67">
        <v>30</v>
      </c>
      <c r="M67" t="s">
        <v>209</v>
      </c>
    </row>
    <row r="68" spans="1:13">
      <c r="A68">
        <v>17</v>
      </c>
      <c r="B68">
        <v>3</v>
      </c>
      <c r="C68" t="s">
        <v>182</v>
      </c>
      <c r="E68" t="s">
        <v>43</v>
      </c>
      <c r="F68" t="s">
        <v>44</v>
      </c>
      <c r="G68">
        <v>4</v>
      </c>
      <c r="H68">
        <v>2E-3</v>
      </c>
      <c r="I68" t="s">
        <v>13</v>
      </c>
      <c r="J68" t="s">
        <v>56</v>
      </c>
      <c r="K68" t="s">
        <v>149</v>
      </c>
      <c r="L68">
        <v>30</v>
      </c>
      <c r="M68" t="s">
        <v>209</v>
      </c>
    </row>
    <row r="69" spans="1:13">
      <c r="A69">
        <v>17</v>
      </c>
      <c r="B69">
        <v>3</v>
      </c>
      <c r="C69" t="s">
        <v>182</v>
      </c>
      <c r="E69" t="s">
        <v>17</v>
      </c>
      <c r="F69" t="s">
        <v>18</v>
      </c>
      <c r="G69">
        <v>2</v>
      </c>
      <c r="H69">
        <v>1E-3</v>
      </c>
      <c r="I69" t="s">
        <v>13</v>
      </c>
      <c r="J69" t="s">
        <v>56</v>
      </c>
      <c r="K69" t="s">
        <v>149</v>
      </c>
      <c r="L69">
        <v>30</v>
      </c>
      <c r="M69" t="s">
        <v>209</v>
      </c>
    </row>
    <row r="70" spans="1:13">
      <c r="A70">
        <v>17</v>
      </c>
      <c r="B70">
        <v>3</v>
      </c>
      <c r="C70" t="s">
        <v>182</v>
      </c>
      <c r="E70" t="s">
        <v>38</v>
      </c>
      <c r="F70" t="s">
        <v>39</v>
      </c>
      <c r="G70">
        <v>2</v>
      </c>
      <c r="H70">
        <v>2E-3</v>
      </c>
      <c r="I70" t="s">
        <v>13</v>
      </c>
      <c r="J70" t="s">
        <v>56</v>
      </c>
      <c r="K70" t="s">
        <v>149</v>
      </c>
      <c r="L70">
        <v>30</v>
      </c>
      <c r="M70" t="s">
        <v>209</v>
      </c>
    </row>
    <row r="71" spans="1:13">
      <c r="A71">
        <v>17</v>
      </c>
      <c r="B71">
        <v>3</v>
      </c>
      <c r="C71" t="s">
        <v>182</v>
      </c>
      <c r="E71" t="s">
        <v>19</v>
      </c>
      <c r="F71" t="s">
        <v>20</v>
      </c>
      <c r="G71">
        <v>28</v>
      </c>
      <c r="H71">
        <v>8.5999999999999993E-2</v>
      </c>
      <c r="I71" t="s">
        <v>13</v>
      </c>
      <c r="J71" t="s">
        <v>57</v>
      </c>
      <c r="K71" t="s">
        <v>149</v>
      </c>
      <c r="L71">
        <v>30</v>
      </c>
      <c r="M71" t="s">
        <v>209</v>
      </c>
    </row>
    <row r="72" spans="1:13">
      <c r="A72">
        <v>17</v>
      </c>
      <c r="B72">
        <v>3</v>
      </c>
      <c r="C72" t="s">
        <v>182</v>
      </c>
      <c r="E72" t="s">
        <v>22</v>
      </c>
      <c r="F72" t="s">
        <v>23</v>
      </c>
      <c r="G72">
        <v>693</v>
      </c>
      <c r="H72">
        <v>1.966</v>
      </c>
      <c r="I72" t="s">
        <v>13</v>
      </c>
      <c r="J72" t="s">
        <v>57</v>
      </c>
      <c r="K72" t="s">
        <v>149</v>
      </c>
      <c r="L72">
        <v>30</v>
      </c>
      <c r="M72" t="s">
        <v>209</v>
      </c>
    </row>
    <row r="73" spans="1:13">
      <c r="A73">
        <v>17</v>
      </c>
      <c r="B73">
        <v>3</v>
      </c>
      <c r="C73" t="s">
        <v>182</v>
      </c>
      <c r="E73" t="s">
        <v>58</v>
      </c>
      <c r="F73" t="s">
        <v>59</v>
      </c>
      <c r="G73" t="s">
        <v>164</v>
      </c>
      <c r="H73">
        <v>1E-3</v>
      </c>
      <c r="I73" t="s">
        <v>13</v>
      </c>
      <c r="J73" t="s">
        <v>56</v>
      </c>
      <c r="K73" t="s">
        <v>64</v>
      </c>
      <c r="L73">
        <v>30</v>
      </c>
      <c r="M73" t="s">
        <v>209</v>
      </c>
    </row>
    <row r="74" spans="1:13">
      <c r="A74">
        <v>17</v>
      </c>
      <c r="B74">
        <v>3</v>
      </c>
      <c r="C74" t="s">
        <v>182</v>
      </c>
      <c r="E74" t="s">
        <v>43</v>
      </c>
      <c r="F74" t="s">
        <v>44</v>
      </c>
      <c r="G74">
        <v>4</v>
      </c>
      <c r="H74">
        <v>2E-3</v>
      </c>
      <c r="I74" t="s">
        <v>27</v>
      </c>
      <c r="J74" t="s">
        <v>57</v>
      </c>
      <c r="K74" t="s">
        <v>64</v>
      </c>
      <c r="L74">
        <v>30</v>
      </c>
      <c r="M74" t="s">
        <v>209</v>
      </c>
    </row>
    <row r="75" spans="1:13">
      <c r="A75">
        <v>17</v>
      </c>
      <c r="B75">
        <v>3</v>
      </c>
      <c r="C75" t="s">
        <v>182</v>
      </c>
      <c r="E75" t="s">
        <v>17</v>
      </c>
      <c r="F75" t="s">
        <v>18</v>
      </c>
      <c r="G75">
        <v>1</v>
      </c>
      <c r="H75">
        <v>1E-3</v>
      </c>
      <c r="I75" t="s">
        <v>27</v>
      </c>
      <c r="J75" t="s">
        <v>57</v>
      </c>
      <c r="K75" t="s">
        <v>64</v>
      </c>
      <c r="L75">
        <v>30</v>
      </c>
      <c r="M75" t="s">
        <v>209</v>
      </c>
    </row>
    <row r="76" spans="1:13">
      <c r="A76">
        <v>17</v>
      </c>
      <c r="B76">
        <v>3</v>
      </c>
      <c r="C76" t="s">
        <v>182</v>
      </c>
      <c r="E76" t="s">
        <v>22</v>
      </c>
      <c r="F76" t="s">
        <v>23</v>
      </c>
      <c r="G76">
        <v>1</v>
      </c>
      <c r="H76">
        <v>1E-3</v>
      </c>
      <c r="I76" t="s">
        <v>27</v>
      </c>
      <c r="J76" t="s">
        <v>56</v>
      </c>
      <c r="K76" t="s">
        <v>64</v>
      </c>
      <c r="L76">
        <v>30</v>
      </c>
      <c r="M76" t="s">
        <v>209</v>
      </c>
    </row>
    <row r="77" spans="1:13">
      <c r="A77">
        <v>17</v>
      </c>
      <c r="B77">
        <v>2</v>
      </c>
      <c r="C77" t="s">
        <v>183</v>
      </c>
      <c r="E77" t="s">
        <v>11</v>
      </c>
      <c r="F77" t="s">
        <v>12</v>
      </c>
      <c r="G77">
        <v>9</v>
      </c>
      <c r="H77">
        <v>2.847</v>
      </c>
      <c r="I77" t="s">
        <v>13</v>
      </c>
      <c r="J77" t="s">
        <v>165</v>
      </c>
      <c r="K77" t="s">
        <v>149</v>
      </c>
      <c r="L77">
        <v>30</v>
      </c>
      <c r="M77" t="s">
        <v>209</v>
      </c>
    </row>
    <row r="78" spans="1:13">
      <c r="A78">
        <v>17</v>
      </c>
      <c r="B78">
        <v>2</v>
      </c>
      <c r="C78" t="s">
        <v>183</v>
      </c>
      <c r="E78" t="s">
        <v>38</v>
      </c>
      <c r="F78" t="s">
        <v>39</v>
      </c>
      <c r="G78">
        <v>1</v>
      </c>
      <c r="H78">
        <v>2E-3</v>
      </c>
      <c r="I78" t="s">
        <v>13</v>
      </c>
      <c r="J78" t="s">
        <v>165</v>
      </c>
      <c r="K78" t="s">
        <v>149</v>
      </c>
      <c r="L78">
        <v>30</v>
      </c>
      <c r="M78" t="s">
        <v>209</v>
      </c>
    </row>
    <row r="79" spans="1:13">
      <c r="A79">
        <v>17</v>
      </c>
      <c r="B79">
        <v>2</v>
      </c>
      <c r="C79" t="s">
        <v>183</v>
      </c>
      <c r="E79" t="s">
        <v>43</v>
      </c>
      <c r="F79" t="s">
        <v>44</v>
      </c>
      <c r="G79">
        <v>4</v>
      </c>
      <c r="H79">
        <v>4.0000000000000001E-3</v>
      </c>
      <c r="I79" t="s">
        <v>13</v>
      </c>
      <c r="J79" t="s">
        <v>165</v>
      </c>
      <c r="K79" t="s">
        <v>149</v>
      </c>
      <c r="L79">
        <v>30</v>
      </c>
      <c r="M79" t="s">
        <v>209</v>
      </c>
    </row>
    <row r="80" spans="1:13">
      <c r="A80">
        <v>17</v>
      </c>
      <c r="B80">
        <v>2</v>
      </c>
      <c r="C80" t="s">
        <v>183</v>
      </c>
      <c r="E80" t="s">
        <v>17</v>
      </c>
      <c r="F80" t="s">
        <v>18</v>
      </c>
      <c r="G80">
        <v>1</v>
      </c>
      <c r="H80">
        <v>2E-3</v>
      </c>
      <c r="I80" t="s">
        <v>13</v>
      </c>
      <c r="J80" t="s">
        <v>165</v>
      </c>
      <c r="K80" t="s">
        <v>149</v>
      </c>
      <c r="L80">
        <v>30</v>
      </c>
      <c r="M80" t="s">
        <v>209</v>
      </c>
    </row>
    <row r="81" spans="1:13">
      <c r="A81">
        <v>17</v>
      </c>
      <c r="B81">
        <v>2</v>
      </c>
      <c r="C81" t="s">
        <v>183</v>
      </c>
      <c r="E81" t="s">
        <v>22</v>
      </c>
      <c r="F81" t="s">
        <v>23</v>
      </c>
      <c r="G81">
        <v>797</v>
      </c>
      <c r="H81">
        <v>2.34</v>
      </c>
      <c r="I81" t="s">
        <v>13</v>
      </c>
      <c r="J81" t="s">
        <v>165</v>
      </c>
      <c r="K81" t="s">
        <v>149</v>
      </c>
      <c r="L81">
        <v>30</v>
      </c>
      <c r="M81" t="s">
        <v>209</v>
      </c>
    </row>
    <row r="82" spans="1:13">
      <c r="A82">
        <v>17</v>
      </c>
      <c r="B82">
        <v>2</v>
      </c>
      <c r="C82" t="s">
        <v>183</v>
      </c>
      <c r="E82" t="s">
        <v>19</v>
      </c>
      <c r="F82" t="s">
        <v>20</v>
      </c>
      <c r="G82">
        <v>60</v>
      </c>
      <c r="H82">
        <v>0.14599999999999999</v>
      </c>
      <c r="I82" t="s">
        <v>13</v>
      </c>
      <c r="J82" t="s">
        <v>165</v>
      </c>
      <c r="K82" t="s">
        <v>149</v>
      </c>
      <c r="L82">
        <v>30</v>
      </c>
      <c r="M82" t="s">
        <v>209</v>
      </c>
    </row>
    <row r="83" spans="1:13">
      <c r="A83">
        <v>17</v>
      </c>
      <c r="B83">
        <v>2</v>
      </c>
      <c r="C83" t="s">
        <v>183</v>
      </c>
      <c r="E83" t="s">
        <v>40</v>
      </c>
      <c r="F83" t="s">
        <v>41</v>
      </c>
      <c r="G83">
        <v>6</v>
      </c>
      <c r="H83">
        <v>4.0000000000000001E-3</v>
      </c>
      <c r="I83" t="s">
        <v>13</v>
      </c>
      <c r="J83" t="s">
        <v>166</v>
      </c>
      <c r="K83" t="s">
        <v>64</v>
      </c>
      <c r="L83">
        <v>30</v>
      </c>
      <c r="M83" t="s">
        <v>209</v>
      </c>
    </row>
    <row r="84" spans="1:13">
      <c r="A84">
        <v>17</v>
      </c>
      <c r="B84">
        <v>2</v>
      </c>
      <c r="C84" t="s">
        <v>183</v>
      </c>
      <c r="E84" t="s">
        <v>11</v>
      </c>
      <c r="F84" t="s">
        <v>12</v>
      </c>
      <c r="G84">
        <v>1</v>
      </c>
      <c r="H84">
        <v>3.0000000000000001E-3</v>
      </c>
      <c r="I84" t="s">
        <v>13</v>
      </c>
      <c r="J84" t="s">
        <v>166</v>
      </c>
      <c r="K84" t="s">
        <v>64</v>
      </c>
      <c r="L84">
        <v>30</v>
      </c>
      <c r="M84" t="s">
        <v>209</v>
      </c>
    </row>
    <row r="85" spans="1:13">
      <c r="A85">
        <v>17</v>
      </c>
      <c r="B85">
        <v>2</v>
      </c>
      <c r="C85" t="s">
        <v>183</v>
      </c>
      <c r="E85" t="s">
        <v>17</v>
      </c>
      <c r="F85" t="s">
        <v>18</v>
      </c>
      <c r="G85">
        <v>9</v>
      </c>
      <c r="H85">
        <v>1.2E-2</v>
      </c>
      <c r="I85" t="s">
        <v>13</v>
      </c>
      <c r="J85" t="s">
        <v>166</v>
      </c>
      <c r="K85" t="s">
        <v>64</v>
      </c>
      <c r="L85">
        <v>30</v>
      </c>
      <c r="M85" t="s">
        <v>209</v>
      </c>
    </row>
    <row r="86" spans="1:13">
      <c r="A86">
        <v>17</v>
      </c>
      <c r="B86">
        <v>2</v>
      </c>
      <c r="C86" t="s">
        <v>183</v>
      </c>
      <c r="E86" t="s">
        <v>25</v>
      </c>
      <c r="G86">
        <v>16</v>
      </c>
      <c r="H86">
        <v>6.0000000000000001E-3</v>
      </c>
      <c r="I86" t="s">
        <v>13</v>
      </c>
      <c r="J86" t="s">
        <v>166</v>
      </c>
      <c r="K86" t="s">
        <v>64</v>
      </c>
      <c r="L86">
        <v>30</v>
      </c>
      <c r="M86" t="s">
        <v>209</v>
      </c>
    </row>
    <row r="87" spans="1:13">
      <c r="A87">
        <v>17</v>
      </c>
      <c r="B87">
        <v>2</v>
      </c>
      <c r="C87" t="s">
        <v>183</v>
      </c>
      <c r="E87" t="s">
        <v>38</v>
      </c>
      <c r="F87" t="s">
        <v>39</v>
      </c>
      <c r="G87">
        <v>1</v>
      </c>
      <c r="H87">
        <v>2E-3</v>
      </c>
      <c r="I87" t="s">
        <v>13</v>
      </c>
      <c r="J87" t="s">
        <v>166</v>
      </c>
      <c r="K87" t="s">
        <v>64</v>
      </c>
      <c r="L87">
        <v>30</v>
      </c>
      <c r="M87" t="s">
        <v>209</v>
      </c>
    </row>
    <row r="88" spans="1:13">
      <c r="A88">
        <v>17</v>
      </c>
      <c r="B88">
        <v>2</v>
      </c>
      <c r="C88" t="s">
        <v>183</v>
      </c>
      <c r="E88" t="s">
        <v>30</v>
      </c>
      <c r="G88">
        <v>1</v>
      </c>
      <c r="H88">
        <v>3.0000000000000001E-3</v>
      </c>
      <c r="I88" t="s">
        <v>13</v>
      </c>
      <c r="J88" t="s">
        <v>166</v>
      </c>
      <c r="K88" t="s">
        <v>64</v>
      </c>
      <c r="L88">
        <v>30</v>
      </c>
      <c r="M88" t="s">
        <v>209</v>
      </c>
    </row>
    <row r="89" spans="1:13">
      <c r="A89">
        <v>17</v>
      </c>
      <c r="B89">
        <v>2</v>
      </c>
      <c r="C89" t="s">
        <v>183</v>
      </c>
      <c r="E89" t="s">
        <v>67</v>
      </c>
      <c r="G89">
        <v>1</v>
      </c>
      <c r="H89">
        <v>2E-3</v>
      </c>
      <c r="I89" t="s">
        <v>13</v>
      </c>
      <c r="J89" t="s">
        <v>166</v>
      </c>
      <c r="K89" t="s">
        <v>64</v>
      </c>
      <c r="L89">
        <v>30</v>
      </c>
      <c r="M89" t="s">
        <v>209</v>
      </c>
    </row>
    <row r="90" spans="1:13">
      <c r="A90">
        <v>18</v>
      </c>
      <c r="B90">
        <v>3</v>
      </c>
      <c r="C90" t="s">
        <v>184</v>
      </c>
      <c r="E90" t="s">
        <v>11</v>
      </c>
      <c r="F90" t="s">
        <v>12</v>
      </c>
      <c r="G90">
        <v>8</v>
      </c>
      <c r="H90">
        <v>1.5269999999999999</v>
      </c>
      <c r="I90" t="s">
        <v>13</v>
      </c>
      <c r="J90" t="s">
        <v>168</v>
      </c>
      <c r="K90" t="s">
        <v>149</v>
      </c>
      <c r="L90">
        <v>30</v>
      </c>
      <c r="M90" t="s">
        <v>209</v>
      </c>
    </row>
    <row r="91" spans="1:13">
      <c r="A91">
        <v>18</v>
      </c>
      <c r="B91">
        <v>3</v>
      </c>
      <c r="C91" t="s">
        <v>184</v>
      </c>
      <c r="E91" t="s">
        <v>61</v>
      </c>
      <c r="F91" t="s">
        <v>62</v>
      </c>
      <c r="G91">
        <v>1</v>
      </c>
      <c r="H91">
        <v>1.6E-2</v>
      </c>
      <c r="I91" t="s">
        <v>13</v>
      </c>
      <c r="J91" t="s">
        <v>60</v>
      </c>
      <c r="K91" t="s">
        <v>149</v>
      </c>
      <c r="L91">
        <v>30</v>
      </c>
      <c r="M91" t="s">
        <v>209</v>
      </c>
    </row>
    <row r="92" spans="1:13">
      <c r="A92">
        <v>18</v>
      </c>
      <c r="B92">
        <v>3</v>
      </c>
      <c r="C92" t="s">
        <v>184</v>
      </c>
      <c r="E92" t="s">
        <v>51</v>
      </c>
      <c r="F92" t="s">
        <v>52</v>
      </c>
      <c r="G92">
        <v>2</v>
      </c>
      <c r="H92">
        <v>1.6E-2</v>
      </c>
      <c r="I92" t="s">
        <v>13</v>
      </c>
      <c r="J92" t="s">
        <v>60</v>
      </c>
      <c r="K92" t="s">
        <v>149</v>
      </c>
      <c r="L92">
        <v>30</v>
      </c>
      <c r="M92" t="s">
        <v>209</v>
      </c>
    </row>
    <row r="93" spans="1:13">
      <c r="A93">
        <v>18</v>
      </c>
      <c r="B93">
        <v>3</v>
      </c>
      <c r="C93" t="s">
        <v>184</v>
      </c>
      <c r="E93" t="s">
        <v>30</v>
      </c>
      <c r="F93" t="s">
        <v>31</v>
      </c>
      <c r="G93">
        <v>1</v>
      </c>
      <c r="H93">
        <v>2E-3</v>
      </c>
      <c r="I93" t="s">
        <v>13</v>
      </c>
      <c r="J93" t="s">
        <v>60</v>
      </c>
      <c r="K93" t="s">
        <v>149</v>
      </c>
      <c r="L93">
        <v>30</v>
      </c>
      <c r="M93" t="s">
        <v>209</v>
      </c>
    </row>
    <row r="94" spans="1:13">
      <c r="A94">
        <v>18</v>
      </c>
      <c r="B94">
        <v>3</v>
      </c>
      <c r="C94" t="s">
        <v>184</v>
      </c>
      <c r="E94" t="s">
        <v>43</v>
      </c>
      <c r="F94" t="s">
        <v>44</v>
      </c>
      <c r="G94">
        <v>5</v>
      </c>
      <c r="H94">
        <v>3.0000000000000001E-3</v>
      </c>
      <c r="I94" t="s">
        <v>13</v>
      </c>
      <c r="J94" t="s">
        <v>60</v>
      </c>
      <c r="K94" t="s">
        <v>149</v>
      </c>
      <c r="L94">
        <v>30</v>
      </c>
      <c r="M94" t="s">
        <v>209</v>
      </c>
    </row>
    <row r="95" spans="1:13">
      <c r="A95">
        <v>18</v>
      </c>
      <c r="B95">
        <v>3</v>
      </c>
      <c r="C95" t="s">
        <v>184</v>
      </c>
      <c r="E95" t="s">
        <v>19</v>
      </c>
      <c r="F95" t="s">
        <v>20</v>
      </c>
      <c r="G95">
        <v>29</v>
      </c>
      <c r="H95">
        <v>5.3999999999999999E-2</v>
      </c>
      <c r="I95" t="s">
        <v>13</v>
      </c>
      <c r="J95" t="s">
        <v>63</v>
      </c>
      <c r="K95" t="s">
        <v>161</v>
      </c>
      <c r="L95">
        <v>30</v>
      </c>
      <c r="M95" t="s">
        <v>209</v>
      </c>
    </row>
    <row r="96" spans="1:13">
      <c r="A96">
        <v>18</v>
      </c>
      <c r="B96">
        <v>3</v>
      </c>
      <c r="C96" t="s">
        <v>184</v>
      </c>
      <c r="E96" t="s">
        <v>22</v>
      </c>
      <c r="F96" t="s">
        <v>23</v>
      </c>
      <c r="G96">
        <v>1558</v>
      </c>
      <c r="H96">
        <v>5.1230000000000002</v>
      </c>
      <c r="I96" t="s">
        <v>13</v>
      </c>
      <c r="J96" t="s">
        <v>63</v>
      </c>
      <c r="K96" t="s">
        <v>149</v>
      </c>
      <c r="L96">
        <v>30</v>
      </c>
      <c r="M96" t="s">
        <v>209</v>
      </c>
    </row>
    <row r="97" spans="1:13">
      <c r="A97">
        <v>18</v>
      </c>
      <c r="B97">
        <v>3</v>
      </c>
      <c r="C97" t="s">
        <v>184</v>
      </c>
      <c r="E97" t="s">
        <v>25</v>
      </c>
      <c r="F97" t="s">
        <v>26</v>
      </c>
      <c r="G97">
        <v>10</v>
      </c>
      <c r="H97">
        <v>5.0000000000000001E-3</v>
      </c>
      <c r="I97" t="s">
        <v>27</v>
      </c>
      <c r="J97" t="s">
        <v>167</v>
      </c>
      <c r="K97" t="s">
        <v>64</v>
      </c>
      <c r="L97">
        <v>30</v>
      </c>
      <c r="M97" t="s">
        <v>209</v>
      </c>
    </row>
    <row r="98" spans="1:13">
      <c r="A98">
        <v>18</v>
      </c>
      <c r="B98">
        <v>3</v>
      </c>
      <c r="C98" t="s">
        <v>184</v>
      </c>
      <c r="E98" t="s">
        <v>17</v>
      </c>
      <c r="F98" t="s">
        <v>18</v>
      </c>
      <c r="G98">
        <v>6</v>
      </c>
      <c r="H98">
        <v>5.0000000000000001E-3</v>
      </c>
      <c r="I98" t="s">
        <v>27</v>
      </c>
      <c r="J98" t="s">
        <v>167</v>
      </c>
      <c r="K98" t="s">
        <v>64</v>
      </c>
      <c r="L98">
        <v>30</v>
      </c>
      <c r="M98" t="s">
        <v>209</v>
      </c>
    </row>
    <row r="99" spans="1:13">
      <c r="A99">
        <v>18</v>
      </c>
      <c r="B99">
        <v>3</v>
      </c>
      <c r="C99" t="s">
        <v>184</v>
      </c>
      <c r="E99" t="s">
        <v>11</v>
      </c>
      <c r="F99" t="s">
        <v>12</v>
      </c>
      <c r="G99">
        <v>2</v>
      </c>
      <c r="H99">
        <v>3.0000000000000001E-3</v>
      </c>
      <c r="I99" t="s">
        <v>27</v>
      </c>
      <c r="J99" t="s">
        <v>167</v>
      </c>
      <c r="K99" t="s">
        <v>64</v>
      </c>
      <c r="L99">
        <v>30</v>
      </c>
      <c r="M99" t="s">
        <v>209</v>
      </c>
    </row>
    <row r="100" spans="1:13">
      <c r="A100">
        <v>18</v>
      </c>
      <c r="B100">
        <v>3</v>
      </c>
      <c r="C100" t="s">
        <v>184</v>
      </c>
      <c r="E100" t="s">
        <v>51</v>
      </c>
      <c r="F100" t="s">
        <v>52</v>
      </c>
      <c r="G100">
        <v>2</v>
      </c>
      <c r="H100">
        <v>2E-3</v>
      </c>
      <c r="I100" t="s">
        <v>27</v>
      </c>
      <c r="J100" t="s">
        <v>167</v>
      </c>
      <c r="K100" t="s">
        <v>64</v>
      </c>
      <c r="L100">
        <v>30</v>
      </c>
      <c r="M100" t="s">
        <v>209</v>
      </c>
    </row>
    <row r="101" spans="1:13">
      <c r="A101">
        <v>18</v>
      </c>
      <c r="B101">
        <v>3</v>
      </c>
      <c r="C101" t="s">
        <v>184</v>
      </c>
      <c r="E101" t="s">
        <v>43</v>
      </c>
      <c r="F101" t="s">
        <v>44</v>
      </c>
      <c r="G101">
        <v>10</v>
      </c>
      <c r="H101">
        <v>5.0000000000000001E-3</v>
      </c>
      <c r="I101" t="s">
        <v>27</v>
      </c>
      <c r="J101" t="s">
        <v>167</v>
      </c>
      <c r="K101" t="s">
        <v>64</v>
      </c>
      <c r="L101">
        <v>30</v>
      </c>
      <c r="M101" t="s">
        <v>209</v>
      </c>
    </row>
    <row r="102" spans="1:13">
      <c r="A102">
        <v>18</v>
      </c>
      <c r="B102">
        <v>3</v>
      </c>
      <c r="C102" t="s">
        <v>184</v>
      </c>
      <c r="E102" t="s">
        <v>30</v>
      </c>
      <c r="F102" t="s">
        <v>31</v>
      </c>
      <c r="G102">
        <v>3</v>
      </c>
      <c r="H102">
        <v>3.0000000000000001E-3</v>
      </c>
      <c r="I102" t="s">
        <v>27</v>
      </c>
      <c r="J102" t="s">
        <v>167</v>
      </c>
      <c r="K102" t="s">
        <v>64</v>
      </c>
      <c r="L102">
        <v>30</v>
      </c>
      <c r="M102" t="s">
        <v>209</v>
      </c>
    </row>
    <row r="103" spans="1:13">
      <c r="A103">
        <v>18</v>
      </c>
      <c r="B103">
        <v>2</v>
      </c>
      <c r="C103" t="s">
        <v>185</v>
      </c>
      <c r="E103" t="s">
        <v>11</v>
      </c>
      <c r="F103" t="s">
        <v>12</v>
      </c>
      <c r="G103">
        <v>12</v>
      </c>
      <c r="H103">
        <v>4.1449999999999996</v>
      </c>
      <c r="I103" t="s">
        <v>13</v>
      </c>
      <c r="J103" t="s">
        <v>169</v>
      </c>
      <c r="K103" t="s">
        <v>149</v>
      </c>
      <c r="L103">
        <v>30</v>
      </c>
      <c r="M103" t="s">
        <v>209</v>
      </c>
    </row>
    <row r="104" spans="1:13">
      <c r="A104">
        <v>18</v>
      </c>
      <c r="B104">
        <v>2</v>
      </c>
      <c r="C104" t="s">
        <v>185</v>
      </c>
      <c r="E104" t="s">
        <v>30</v>
      </c>
      <c r="F104" t="s">
        <v>31</v>
      </c>
      <c r="G104">
        <v>1</v>
      </c>
      <c r="H104">
        <v>3.0000000000000001E-3</v>
      </c>
      <c r="I104" t="s">
        <v>13</v>
      </c>
      <c r="J104" t="s">
        <v>169</v>
      </c>
      <c r="K104" t="s">
        <v>149</v>
      </c>
      <c r="L104">
        <v>30</v>
      </c>
      <c r="M104" t="s">
        <v>209</v>
      </c>
    </row>
    <row r="105" spans="1:13">
      <c r="A105">
        <v>18</v>
      </c>
      <c r="B105">
        <v>2</v>
      </c>
      <c r="C105" t="s">
        <v>185</v>
      </c>
      <c r="E105" t="s">
        <v>43</v>
      </c>
      <c r="F105" t="s">
        <v>44</v>
      </c>
      <c r="G105">
        <v>10</v>
      </c>
      <c r="H105">
        <v>5.0000000000000001E-3</v>
      </c>
      <c r="I105" t="s">
        <v>13</v>
      </c>
      <c r="J105" t="s">
        <v>169</v>
      </c>
      <c r="K105" t="s">
        <v>149</v>
      </c>
      <c r="L105">
        <v>30</v>
      </c>
      <c r="M105" t="s">
        <v>209</v>
      </c>
    </row>
    <row r="106" spans="1:13">
      <c r="A106">
        <v>18</v>
      </c>
      <c r="B106">
        <v>2</v>
      </c>
      <c r="C106" t="s">
        <v>185</v>
      </c>
      <c r="E106" t="s">
        <v>17</v>
      </c>
      <c r="F106" t="s">
        <v>18</v>
      </c>
      <c r="G106">
        <v>3</v>
      </c>
      <c r="H106">
        <v>3.0000000000000001E-3</v>
      </c>
      <c r="I106" t="s">
        <v>13</v>
      </c>
      <c r="J106" t="s">
        <v>169</v>
      </c>
      <c r="K106" t="s">
        <v>149</v>
      </c>
      <c r="L106">
        <v>30</v>
      </c>
      <c r="M106" t="s">
        <v>209</v>
      </c>
    </row>
    <row r="107" spans="1:13">
      <c r="A107">
        <v>18</v>
      </c>
      <c r="B107">
        <v>2</v>
      </c>
      <c r="C107" t="s">
        <v>185</v>
      </c>
      <c r="E107" t="s">
        <v>19</v>
      </c>
      <c r="F107" t="s">
        <v>20</v>
      </c>
      <c r="G107">
        <v>41</v>
      </c>
      <c r="H107">
        <v>0.14299999999999999</v>
      </c>
      <c r="I107" t="s">
        <v>13</v>
      </c>
      <c r="J107" t="s">
        <v>169</v>
      </c>
      <c r="K107" t="s">
        <v>149</v>
      </c>
      <c r="L107">
        <v>30</v>
      </c>
      <c r="M107" t="s">
        <v>209</v>
      </c>
    </row>
    <row r="108" spans="1:13">
      <c r="A108">
        <v>18</v>
      </c>
      <c r="B108">
        <v>2</v>
      </c>
      <c r="C108" t="s">
        <v>185</v>
      </c>
      <c r="E108" t="s">
        <v>22</v>
      </c>
      <c r="F108" t="s">
        <v>23</v>
      </c>
      <c r="G108">
        <v>767</v>
      </c>
      <c r="H108">
        <v>3.8239999999999998</v>
      </c>
      <c r="I108" t="s">
        <v>13</v>
      </c>
      <c r="J108" t="s">
        <v>169</v>
      </c>
      <c r="K108" t="s">
        <v>149</v>
      </c>
      <c r="L108">
        <v>30</v>
      </c>
      <c r="M108" t="s">
        <v>209</v>
      </c>
    </row>
    <row r="109" spans="1:13">
      <c r="A109">
        <v>18</v>
      </c>
      <c r="B109">
        <v>2</v>
      </c>
      <c r="C109" t="s">
        <v>185</v>
      </c>
      <c r="E109" t="s">
        <v>51</v>
      </c>
      <c r="F109" t="s">
        <v>52</v>
      </c>
      <c r="G109">
        <v>1</v>
      </c>
      <c r="H109">
        <v>2E-3</v>
      </c>
      <c r="I109" t="s">
        <v>27</v>
      </c>
      <c r="J109" t="s">
        <v>167</v>
      </c>
      <c r="K109" t="s">
        <v>64</v>
      </c>
      <c r="L109">
        <v>30</v>
      </c>
      <c r="M109" t="s">
        <v>209</v>
      </c>
    </row>
    <row r="110" spans="1:13">
      <c r="A110">
        <v>18</v>
      </c>
      <c r="B110">
        <v>2</v>
      </c>
      <c r="C110" t="s">
        <v>185</v>
      </c>
      <c r="E110" t="s">
        <v>25</v>
      </c>
      <c r="F110" t="s">
        <v>26</v>
      </c>
      <c r="G110">
        <v>11</v>
      </c>
      <c r="H110">
        <v>5.0000000000000001E-3</v>
      </c>
      <c r="I110" t="s">
        <v>27</v>
      </c>
      <c r="J110" t="s">
        <v>167</v>
      </c>
      <c r="K110" t="s">
        <v>64</v>
      </c>
      <c r="L110">
        <v>30</v>
      </c>
      <c r="M110" t="s">
        <v>209</v>
      </c>
    </row>
    <row r="111" spans="1:13">
      <c r="A111">
        <v>18</v>
      </c>
      <c r="B111">
        <v>2</v>
      </c>
      <c r="C111" t="s">
        <v>185</v>
      </c>
      <c r="E111" t="s">
        <v>30</v>
      </c>
      <c r="F111" t="s">
        <v>31</v>
      </c>
      <c r="G111">
        <v>1</v>
      </c>
      <c r="H111">
        <v>2E-3</v>
      </c>
      <c r="I111" t="s">
        <v>27</v>
      </c>
      <c r="J111" t="s">
        <v>167</v>
      </c>
      <c r="K111" t="s">
        <v>64</v>
      </c>
      <c r="L111">
        <v>30</v>
      </c>
      <c r="M111" t="s">
        <v>209</v>
      </c>
    </row>
    <row r="112" spans="1:13">
      <c r="A112">
        <v>18</v>
      </c>
      <c r="B112">
        <v>2</v>
      </c>
      <c r="C112" t="s">
        <v>185</v>
      </c>
      <c r="E112" t="s">
        <v>17</v>
      </c>
      <c r="F112" t="s">
        <v>18</v>
      </c>
      <c r="G112">
        <v>3</v>
      </c>
      <c r="H112">
        <v>3.0000000000000001E-3</v>
      </c>
      <c r="I112" t="s">
        <v>27</v>
      </c>
      <c r="J112" t="s">
        <v>167</v>
      </c>
      <c r="K112" t="s">
        <v>64</v>
      </c>
      <c r="L112">
        <v>30</v>
      </c>
      <c r="M112" t="s">
        <v>209</v>
      </c>
    </row>
    <row r="113" spans="1:13">
      <c r="A113">
        <v>19</v>
      </c>
      <c r="B113">
        <v>1</v>
      </c>
      <c r="C113" t="s">
        <v>186</v>
      </c>
      <c r="E113" t="s">
        <v>28</v>
      </c>
      <c r="F113" t="s">
        <v>29</v>
      </c>
      <c r="G113">
        <v>1</v>
      </c>
      <c r="H113">
        <v>2E-3</v>
      </c>
      <c r="I113" t="s">
        <v>27</v>
      </c>
      <c r="J113" t="s">
        <v>36</v>
      </c>
      <c r="K113" t="s">
        <v>64</v>
      </c>
      <c r="L113">
        <v>1</v>
      </c>
      <c r="M113" t="s">
        <v>209</v>
      </c>
    </row>
    <row r="114" spans="1:13">
      <c r="A114">
        <v>19</v>
      </c>
      <c r="B114">
        <v>1</v>
      </c>
      <c r="C114" t="s">
        <v>186</v>
      </c>
      <c r="E114" t="s">
        <v>17</v>
      </c>
      <c r="F114" t="s">
        <v>18</v>
      </c>
      <c r="G114">
        <v>88</v>
      </c>
      <c r="H114">
        <v>2.7E-2</v>
      </c>
      <c r="I114" t="s">
        <v>27</v>
      </c>
      <c r="J114" t="s">
        <v>36</v>
      </c>
      <c r="K114" t="s">
        <v>64</v>
      </c>
      <c r="L114">
        <v>1</v>
      </c>
      <c r="M114" t="s">
        <v>209</v>
      </c>
    </row>
    <row r="115" spans="1:13">
      <c r="A115">
        <v>19</v>
      </c>
      <c r="B115">
        <v>1</v>
      </c>
      <c r="C115" t="s">
        <v>186</v>
      </c>
      <c r="E115" t="s">
        <v>65</v>
      </c>
      <c r="F115" t="s">
        <v>66</v>
      </c>
      <c r="G115">
        <v>28</v>
      </c>
      <c r="H115">
        <v>5.0000000000000001E-3</v>
      </c>
      <c r="I115" t="s">
        <v>27</v>
      </c>
      <c r="J115" t="s">
        <v>36</v>
      </c>
      <c r="K115" t="s">
        <v>64</v>
      </c>
      <c r="L115">
        <v>1</v>
      </c>
      <c r="M115" t="s">
        <v>209</v>
      </c>
    </row>
    <row r="116" spans="1:13">
      <c r="A116">
        <v>19</v>
      </c>
      <c r="B116">
        <v>1</v>
      </c>
      <c r="C116" t="s">
        <v>186</v>
      </c>
      <c r="E116" t="s">
        <v>33</v>
      </c>
      <c r="F116" t="s">
        <v>34</v>
      </c>
      <c r="G116">
        <v>4</v>
      </c>
      <c r="H116">
        <v>1.38</v>
      </c>
      <c r="I116" t="s">
        <v>27</v>
      </c>
      <c r="J116" t="s">
        <v>36</v>
      </c>
      <c r="K116" t="s">
        <v>64</v>
      </c>
      <c r="L116">
        <v>1</v>
      </c>
      <c r="M116" t="s">
        <v>209</v>
      </c>
    </row>
    <row r="117" spans="1:13">
      <c r="A117">
        <v>19</v>
      </c>
      <c r="B117">
        <v>1</v>
      </c>
      <c r="C117" t="s">
        <v>186</v>
      </c>
      <c r="E117" t="s">
        <v>25</v>
      </c>
      <c r="F117" t="s">
        <v>26</v>
      </c>
      <c r="G117">
        <v>6</v>
      </c>
      <c r="H117">
        <v>1E-3</v>
      </c>
      <c r="I117" t="s">
        <v>27</v>
      </c>
      <c r="J117" t="s">
        <v>36</v>
      </c>
      <c r="K117" t="s">
        <v>64</v>
      </c>
      <c r="L117">
        <v>1</v>
      </c>
      <c r="M117" t="s">
        <v>209</v>
      </c>
    </row>
    <row r="118" spans="1:13">
      <c r="A118">
        <v>19</v>
      </c>
      <c r="B118">
        <v>1</v>
      </c>
      <c r="C118" t="s">
        <v>186</v>
      </c>
      <c r="E118" t="s">
        <v>11</v>
      </c>
      <c r="F118" t="s">
        <v>12</v>
      </c>
      <c r="G118">
        <v>88</v>
      </c>
      <c r="H118">
        <v>34.713999999999999</v>
      </c>
      <c r="I118" t="s">
        <v>27</v>
      </c>
      <c r="J118" t="s">
        <v>36</v>
      </c>
      <c r="K118" t="s">
        <v>64</v>
      </c>
      <c r="L118">
        <v>1</v>
      </c>
      <c r="M118" t="s">
        <v>209</v>
      </c>
    </row>
    <row r="119" spans="1:13">
      <c r="A119">
        <v>19</v>
      </c>
      <c r="B119">
        <v>1</v>
      </c>
      <c r="C119" t="s">
        <v>186</v>
      </c>
      <c r="E119" t="s">
        <v>38</v>
      </c>
      <c r="F119" t="s">
        <v>39</v>
      </c>
      <c r="G119">
        <v>3</v>
      </c>
      <c r="H119">
        <v>3.0000000000000001E-3</v>
      </c>
      <c r="I119" t="s">
        <v>27</v>
      </c>
      <c r="J119" t="s">
        <v>37</v>
      </c>
      <c r="K119" t="s">
        <v>64</v>
      </c>
      <c r="L119">
        <v>1</v>
      </c>
      <c r="M119" t="s">
        <v>209</v>
      </c>
    </row>
    <row r="120" spans="1:13">
      <c r="A120">
        <v>19</v>
      </c>
      <c r="B120">
        <v>1</v>
      </c>
      <c r="C120" t="s">
        <v>186</v>
      </c>
      <c r="E120" t="s">
        <v>43</v>
      </c>
      <c r="F120" t="s">
        <v>44</v>
      </c>
      <c r="G120">
        <v>6</v>
      </c>
      <c r="H120">
        <v>3.0000000000000001E-3</v>
      </c>
      <c r="I120" t="s">
        <v>27</v>
      </c>
      <c r="J120" t="s">
        <v>37</v>
      </c>
      <c r="K120" t="s">
        <v>64</v>
      </c>
      <c r="L120">
        <v>1</v>
      </c>
      <c r="M120" t="s">
        <v>209</v>
      </c>
    </row>
    <row r="121" spans="1:13">
      <c r="A121">
        <v>19</v>
      </c>
      <c r="B121">
        <v>1</v>
      </c>
      <c r="C121" t="s">
        <v>186</v>
      </c>
      <c r="E121" t="s">
        <v>30</v>
      </c>
      <c r="F121" t="s">
        <v>31</v>
      </c>
      <c r="G121">
        <v>2</v>
      </c>
      <c r="H121">
        <v>5.0000000000000001E-3</v>
      </c>
      <c r="I121" t="s">
        <v>27</v>
      </c>
      <c r="J121" t="s">
        <v>37</v>
      </c>
      <c r="K121" t="s">
        <v>64</v>
      </c>
      <c r="L121">
        <v>1</v>
      </c>
      <c r="M121" t="s">
        <v>209</v>
      </c>
    </row>
    <row r="122" spans="1:13">
      <c r="A122">
        <v>19</v>
      </c>
      <c r="B122">
        <v>1</v>
      </c>
      <c r="C122" t="s">
        <v>186</v>
      </c>
      <c r="E122" t="s">
        <v>51</v>
      </c>
      <c r="F122" t="s">
        <v>52</v>
      </c>
      <c r="G122">
        <v>1</v>
      </c>
      <c r="H122">
        <v>1E-3</v>
      </c>
      <c r="I122" t="s">
        <v>27</v>
      </c>
      <c r="J122" t="s">
        <v>37</v>
      </c>
      <c r="K122" t="s">
        <v>64</v>
      </c>
      <c r="L122">
        <v>1</v>
      </c>
      <c r="M122" t="s">
        <v>209</v>
      </c>
    </row>
    <row r="123" spans="1:13">
      <c r="A123">
        <v>19</v>
      </c>
      <c r="B123">
        <v>1</v>
      </c>
      <c r="C123" t="s">
        <v>186</v>
      </c>
      <c r="E123" t="s">
        <v>49</v>
      </c>
      <c r="F123" t="s">
        <v>50</v>
      </c>
      <c r="G123">
        <v>1</v>
      </c>
      <c r="H123">
        <v>1E-3</v>
      </c>
      <c r="I123" t="s">
        <v>27</v>
      </c>
      <c r="J123" t="s">
        <v>37</v>
      </c>
      <c r="K123" t="s">
        <v>64</v>
      </c>
      <c r="L123">
        <v>1</v>
      </c>
      <c r="M123" t="s">
        <v>209</v>
      </c>
    </row>
    <row r="124" spans="1:13">
      <c r="A124">
        <v>19</v>
      </c>
      <c r="B124">
        <v>1</v>
      </c>
      <c r="C124" t="s">
        <v>186</v>
      </c>
      <c r="E124" t="s">
        <v>67</v>
      </c>
      <c r="F124" t="s">
        <v>26</v>
      </c>
      <c r="G124">
        <v>1</v>
      </c>
      <c r="H124">
        <v>1E-3</v>
      </c>
      <c r="I124" t="s">
        <v>27</v>
      </c>
      <c r="J124" t="s">
        <v>37</v>
      </c>
      <c r="K124" t="s">
        <v>64</v>
      </c>
      <c r="L124">
        <v>1</v>
      </c>
      <c r="M124" t="s">
        <v>209</v>
      </c>
    </row>
    <row r="125" spans="1:13">
      <c r="A125">
        <v>19</v>
      </c>
      <c r="B125">
        <v>3</v>
      </c>
      <c r="C125" t="s">
        <v>187</v>
      </c>
      <c r="E125" t="s">
        <v>11</v>
      </c>
      <c r="F125" t="s">
        <v>12</v>
      </c>
      <c r="G125">
        <v>15</v>
      </c>
      <c r="H125">
        <v>5.2460000000000004</v>
      </c>
      <c r="I125" t="s">
        <v>27</v>
      </c>
      <c r="J125" t="s">
        <v>170</v>
      </c>
      <c r="K125" t="s">
        <v>149</v>
      </c>
      <c r="L125">
        <v>30</v>
      </c>
      <c r="M125" t="s">
        <v>209</v>
      </c>
    </row>
    <row r="126" spans="1:13">
      <c r="A126">
        <v>19</v>
      </c>
      <c r="B126">
        <v>3</v>
      </c>
      <c r="C126" t="s">
        <v>187</v>
      </c>
      <c r="E126" t="s">
        <v>33</v>
      </c>
      <c r="F126" t="s">
        <v>34</v>
      </c>
      <c r="G126">
        <v>2</v>
      </c>
      <c r="H126">
        <v>0.69</v>
      </c>
      <c r="I126" t="s">
        <v>13</v>
      </c>
      <c r="J126" t="s">
        <v>170</v>
      </c>
      <c r="K126" t="s">
        <v>149</v>
      </c>
      <c r="L126">
        <v>30</v>
      </c>
      <c r="M126" t="s">
        <v>209</v>
      </c>
    </row>
    <row r="127" spans="1:13">
      <c r="A127">
        <v>19</v>
      </c>
      <c r="B127">
        <v>3</v>
      </c>
      <c r="C127" t="s">
        <v>187</v>
      </c>
      <c r="E127" t="s">
        <v>15</v>
      </c>
      <c r="F127" t="s">
        <v>16</v>
      </c>
      <c r="G127">
        <v>1</v>
      </c>
      <c r="H127">
        <v>3.4000000000000002E-2</v>
      </c>
      <c r="I127" t="s">
        <v>13</v>
      </c>
      <c r="J127" t="s">
        <v>170</v>
      </c>
      <c r="K127" t="s">
        <v>149</v>
      </c>
      <c r="L127">
        <v>30</v>
      </c>
      <c r="M127" t="s">
        <v>209</v>
      </c>
    </row>
    <row r="128" spans="1:13">
      <c r="A128">
        <v>19</v>
      </c>
      <c r="B128">
        <v>3</v>
      </c>
      <c r="C128" t="s">
        <v>187</v>
      </c>
      <c r="E128" t="s">
        <v>43</v>
      </c>
      <c r="F128" t="s">
        <v>44</v>
      </c>
      <c r="G128">
        <v>2</v>
      </c>
      <c r="H128">
        <v>1E-3</v>
      </c>
      <c r="I128" t="s">
        <v>13</v>
      </c>
      <c r="J128" t="s">
        <v>170</v>
      </c>
      <c r="K128" t="s">
        <v>149</v>
      </c>
      <c r="L128">
        <v>30</v>
      </c>
      <c r="M128" t="s">
        <v>209</v>
      </c>
    </row>
    <row r="129" spans="1:13">
      <c r="A129">
        <v>19</v>
      </c>
      <c r="B129">
        <v>3</v>
      </c>
      <c r="C129" t="s">
        <v>187</v>
      </c>
      <c r="E129" t="s">
        <v>17</v>
      </c>
      <c r="F129" t="s">
        <v>18</v>
      </c>
      <c r="G129">
        <v>3</v>
      </c>
      <c r="H129">
        <v>3.0000000000000001E-3</v>
      </c>
      <c r="I129" t="s">
        <v>13</v>
      </c>
      <c r="J129" t="s">
        <v>170</v>
      </c>
      <c r="K129" t="s">
        <v>149</v>
      </c>
      <c r="L129">
        <v>30</v>
      </c>
      <c r="M129" t="s">
        <v>209</v>
      </c>
    </row>
    <row r="130" spans="1:13">
      <c r="A130">
        <v>19</v>
      </c>
      <c r="B130">
        <v>3</v>
      </c>
      <c r="C130" t="s">
        <v>187</v>
      </c>
      <c r="E130" t="s">
        <v>19</v>
      </c>
      <c r="F130" t="s">
        <v>20</v>
      </c>
      <c r="G130">
        <v>69</v>
      </c>
      <c r="H130">
        <v>0.124</v>
      </c>
      <c r="I130" t="s">
        <v>13</v>
      </c>
      <c r="J130" t="s">
        <v>170</v>
      </c>
      <c r="K130" t="s">
        <v>149</v>
      </c>
      <c r="L130">
        <v>30</v>
      </c>
      <c r="M130" t="s">
        <v>209</v>
      </c>
    </row>
    <row r="131" spans="1:13">
      <c r="A131">
        <v>19</v>
      </c>
      <c r="B131">
        <v>3</v>
      </c>
      <c r="C131" t="s">
        <v>187</v>
      </c>
      <c r="E131" t="s">
        <v>22</v>
      </c>
      <c r="F131" t="s">
        <v>23</v>
      </c>
      <c r="G131">
        <v>905</v>
      </c>
      <c r="H131">
        <v>2.6760000000000002</v>
      </c>
      <c r="I131" t="s">
        <v>13</v>
      </c>
      <c r="J131" t="s">
        <v>170</v>
      </c>
      <c r="K131" t="s">
        <v>149</v>
      </c>
      <c r="L131">
        <v>30</v>
      </c>
      <c r="M131" t="s">
        <v>209</v>
      </c>
    </row>
    <row r="132" spans="1:13">
      <c r="A132">
        <v>19</v>
      </c>
      <c r="B132">
        <v>3</v>
      </c>
      <c r="C132" t="s">
        <v>187</v>
      </c>
      <c r="E132" t="s">
        <v>28</v>
      </c>
      <c r="F132" t="s">
        <v>29</v>
      </c>
      <c r="G132">
        <v>1</v>
      </c>
      <c r="H132">
        <v>3.4000000000000002E-2</v>
      </c>
      <c r="I132" t="s">
        <v>27</v>
      </c>
      <c r="J132" t="s">
        <v>170</v>
      </c>
      <c r="K132" t="s">
        <v>149</v>
      </c>
      <c r="L132">
        <v>30</v>
      </c>
      <c r="M132" t="s">
        <v>209</v>
      </c>
    </row>
    <row r="133" spans="1:13">
      <c r="A133">
        <v>19</v>
      </c>
      <c r="B133">
        <v>3</v>
      </c>
      <c r="C133" t="s">
        <v>187</v>
      </c>
      <c r="E133" t="s">
        <v>46</v>
      </c>
      <c r="F133" t="s">
        <v>47</v>
      </c>
      <c r="G133">
        <v>2</v>
      </c>
      <c r="H133">
        <v>1E-3</v>
      </c>
      <c r="I133" t="s">
        <v>27</v>
      </c>
      <c r="J133" t="s">
        <v>171</v>
      </c>
      <c r="K133" t="s">
        <v>64</v>
      </c>
      <c r="L133">
        <v>30</v>
      </c>
      <c r="M133" t="s">
        <v>209</v>
      </c>
    </row>
    <row r="134" spans="1:13">
      <c r="A134">
        <v>19</v>
      </c>
      <c r="B134">
        <v>3</v>
      </c>
      <c r="C134" t="s">
        <v>187</v>
      </c>
      <c r="E134" t="s">
        <v>51</v>
      </c>
      <c r="F134" t="s">
        <v>52</v>
      </c>
      <c r="G134">
        <v>2</v>
      </c>
      <c r="H134">
        <v>3.0000000000000001E-3</v>
      </c>
      <c r="I134" t="s">
        <v>27</v>
      </c>
      <c r="J134" t="s">
        <v>171</v>
      </c>
      <c r="K134" t="s">
        <v>64</v>
      </c>
      <c r="L134">
        <v>30</v>
      </c>
      <c r="M134" t="s">
        <v>209</v>
      </c>
    </row>
    <row r="135" spans="1:13">
      <c r="A135">
        <v>19</v>
      </c>
      <c r="B135">
        <v>3</v>
      </c>
      <c r="C135" t="s">
        <v>187</v>
      </c>
      <c r="E135" t="s">
        <v>38</v>
      </c>
      <c r="F135" t="s">
        <v>39</v>
      </c>
      <c r="G135">
        <v>1</v>
      </c>
      <c r="H135">
        <v>1E-3</v>
      </c>
      <c r="I135" t="s">
        <v>27</v>
      </c>
      <c r="J135" t="s">
        <v>171</v>
      </c>
      <c r="K135" t="s">
        <v>64</v>
      </c>
      <c r="L135">
        <v>30</v>
      </c>
      <c r="M135" t="s">
        <v>209</v>
      </c>
    </row>
    <row r="136" spans="1:13">
      <c r="A136">
        <v>19</v>
      </c>
      <c r="B136">
        <v>3</v>
      </c>
      <c r="C136" t="s">
        <v>187</v>
      </c>
      <c r="E136" t="s">
        <v>25</v>
      </c>
      <c r="F136" t="s">
        <v>26</v>
      </c>
      <c r="G136">
        <v>7</v>
      </c>
      <c r="H136">
        <v>8.0000000000000002E-3</v>
      </c>
      <c r="I136" t="s">
        <v>27</v>
      </c>
      <c r="J136" t="s">
        <v>171</v>
      </c>
      <c r="K136" t="s">
        <v>64</v>
      </c>
      <c r="L136">
        <v>30</v>
      </c>
      <c r="M136" t="s">
        <v>209</v>
      </c>
    </row>
    <row r="137" spans="1:13">
      <c r="A137">
        <v>19</v>
      </c>
      <c r="B137">
        <v>3</v>
      </c>
      <c r="C137" t="s">
        <v>187</v>
      </c>
      <c r="E137" t="s">
        <v>43</v>
      </c>
      <c r="F137" t="s">
        <v>44</v>
      </c>
      <c r="G137">
        <v>4</v>
      </c>
      <c r="H137">
        <v>2E-3</v>
      </c>
      <c r="I137" t="s">
        <v>27</v>
      </c>
      <c r="J137" t="s">
        <v>171</v>
      </c>
      <c r="K137" t="s">
        <v>64</v>
      </c>
      <c r="L137">
        <v>30</v>
      </c>
      <c r="M137" t="s">
        <v>209</v>
      </c>
    </row>
    <row r="138" spans="1:13">
      <c r="A138">
        <v>19</v>
      </c>
      <c r="B138">
        <v>3</v>
      </c>
      <c r="C138" t="s">
        <v>187</v>
      </c>
      <c r="E138" t="s">
        <v>17</v>
      </c>
      <c r="F138" t="s">
        <v>18</v>
      </c>
      <c r="G138">
        <v>18</v>
      </c>
      <c r="H138">
        <v>7.0000000000000001E-3</v>
      </c>
      <c r="I138" t="s">
        <v>27</v>
      </c>
      <c r="J138" t="s">
        <v>171</v>
      </c>
      <c r="K138" t="s">
        <v>64</v>
      </c>
      <c r="L138">
        <v>30</v>
      </c>
      <c r="M138" t="s">
        <v>209</v>
      </c>
    </row>
    <row r="139" spans="1:13">
      <c r="A139">
        <v>19</v>
      </c>
      <c r="B139">
        <v>2</v>
      </c>
      <c r="C139" t="s">
        <v>188</v>
      </c>
      <c r="E139" t="s">
        <v>11</v>
      </c>
      <c r="F139" t="s">
        <v>12</v>
      </c>
      <c r="G139">
        <v>16</v>
      </c>
      <c r="H139">
        <v>6.7519999999999998</v>
      </c>
      <c r="I139" t="s">
        <v>13</v>
      </c>
      <c r="J139" t="s">
        <v>172</v>
      </c>
      <c r="K139" t="s">
        <v>149</v>
      </c>
      <c r="L139">
        <v>30</v>
      </c>
      <c r="M139" t="s">
        <v>209</v>
      </c>
    </row>
    <row r="140" spans="1:13">
      <c r="A140">
        <v>19</v>
      </c>
      <c r="B140">
        <v>2</v>
      </c>
      <c r="C140" t="s">
        <v>188</v>
      </c>
      <c r="E140" t="s">
        <v>51</v>
      </c>
      <c r="F140" t="s">
        <v>52</v>
      </c>
      <c r="G140">
        <v>1</v>
      </c>
      <c r="H140">
        <v>2E-3</v>
      </c>
      <c r="I140" t="s">
        <v>13</v>
      </c>
      <c r="J140" t="s">
        <v>172</v>
      </c>
      <c r="K140" t="s">
        <v>149</v>
      </c>
      <c r="L140">
        <v>30</v>
      </c>
      <c r="M140" t="s">
        <v>209</v>
      </c>
    </row>
    <row r="141" spans="1:13">
      <c r="A141">
        <v>19</v>
      </c>
      <c r="B141">
        <v>2</v>
      </c>
      <c r="C141" t="s">
        <v>188</v>
      </c>
      <c r="E141" t="s">
        <v>15</v>
      </c>
      <c r="F141" t="s">
        <v>16</v>
      </c>
      <c r="G141">
        <v>1</v>
      </c>
      <c r="H141">
        <v>4.7E-2</v>
      </c>
      <c r="I141" t="s">
        <v>13</v>
      </c>
      <c r="J141" t="s">
        <v>172</v>
      </c>
      <c r="K141" t="s">
        <v>149</v>
      </c>
      <c r="L141">
        <v>30</v>
      </c>
      <c r="M141" t="s">
        <v>209</v>
      </c>
    </row>
    <row r="142" spans="1:13">
      <c r="A142">
        <v>19</v>
      </c>
      <c r="B142">
        <v>2</v>
      </c>
      <c r="C142" t="s">
        <v>188</v>
      </c>
      <c r="E142" t="s">
        <v>17</v>
      </c>
      <c r="F142" t="s">
        <v>18</v>
      </c>
      <c r="G142">
        <v>3</v>
      </c>
      <c r="H142">
        <v>2E-3</v>
      </c>
      <c r="I142" t="s">
        <v>13</v>
      </c>
      <c r="J142" t="s">
        <v>172</v>
      </c>
      <c r="K142" t="s">
        <v>149</v>
      </c>
      <c r="L142">
        <v>30</v>
      </c>
      <c r="M142" t="s">
        <v>209</v>
      </c>
    </row>
    <row r="143" spans="1:13">
      <c r="A143">
        <v>19</v>
      </c>
      <c r="B143">
        <v>2</v>
      </c>
      <c r="C143" t="s">
        <v>188</v>
      </c>
      <c r="E143" t="s">
        <v>38</v>
      </c>
      <c r="F143" t="s">
        <v>39</v>
      </c>
      <c r="G143">
        <v>1</v>
      </c>
      <c r="H143">
        <v>1E-3</v>
      </c>
      <c r="I143" t="s">
        <v>13</v>
      </c>
      <c r="J143" t="s">
        <v>172</v>
      </c>
      <c r="K143" t="s">
        <v>149</v>
      </c>
      <c r="L143">
        <v>30</v>
      </c>
      <c r="M143" t="s">
        <v>209</v>
      </c>
    </row>
    <row r="144" spans="1:13">
      <c r="A144">
        <v>19</v>
      </c>
      <c r="B144">
        <v>2</v>
      </c>
      <c r="C144" t="s">
        <v>188</v>
      </c>
      <c r="E144" t="s">
        <v>19</v>
      </c>
      <c r="F144" t="s">
        <v>20</v>
      </c>
      <c r="G144">
        <v>43</v>
      </c>
      <c r="H144">
        <v>0.1</v>
      </c>
      <c r="I144" t="s">
        <v>13</v>
      </c>
      <c r="J144" t="s">
        <v>172</v>
      </c>
      <c r="K144" t="s">
        <v>149</v>
      </c>
      <c r="L144">
        <v>30</v>
      </c>
      <c r="M144" t="s">
        <v>209</v>
      </c>
    </row>
    <row r="145" spans="1:13">
      <c r="A145">
        <v>19</v>
      </c>
      <c r="B145">
        <v>2</v>
      </c>
      <c r="C145" t="s">
        <v>188</v>
      </c>
      <c r="E145" t="s">
        <v>22</v>
      </c>
      <c r="F145" t="s">
        <v>23</v>
      </c>
      <c r="G145">
        <v>591</v>
      </c>
      <c r="H145">
        <v>1.444</v>
      </c>
      <c r="I145" t="s">
        <v>13</v>
      </c>
      <c r="J145" t="s">
        <v>172</v>
      </c>
      <c r="K145" t="s">
        <v>149</v>
      </c>
      <c r="L145">
        <v>30</v>
      </c>
      <c r="M145" t="s">
        <v>209</v>
      </c>
    </row>
    <row r="146" spans="1:13">
      <c r="A146">
        <v>19</v>
      </c>
      <c r="B146">
        <v>2</v>
      </c>
      <c r="C146" t="s">
        <v>188</v>
      </c>
      <c r="E146" t="s">
        <v>25</v>
      </c>
      <c r="F146" t="s">
        <v>26</v>
      </c>
      <c r="G146">
        <v>11</v>
      </c>
      <c r="H146">
        <v>0.01</v>
      </c>
      <c r="I146" t="s">
        <v>27</v>
      </c>
      <c r="J146" t="s">
        <v>173</v>
      </c>
      <c r="K146" t="s">
        <v>64</v>
      </c>
      <c r="L146">
        <v>30</v>
      </c>
      <c r="M146" t="s">
        <v>209</v>
      </c>
    </row>
    <row r="147" spans="1:13">
      <c r="A147">
        <v>19</v>
      </c>
      <c r="B147">
        <v>2</v>
      </c>
      <c r="C147" t="s">
        <v>188</v>
      </c>
      <c r="E147" t="s">
        <v>46</v>
      </c>
      <c r="F147" t="s">
        <v>47</v>
      </c>
      <c r="G147">
        <v>1</v>
      </c>
      <c r="H147">
        <v>1E-3</v>
      </c>
      <c r="I147" t="s">
        <v>27</v>
      </c>
      <c r="J147" t="s">
        <v>173</v>
      </c>
      <c r="K147" t="s">
        <v>64</v>
      </c>
      <c r="L147">
        <v>30</v>
      </c>
      <c r="M147" t="s">
        <v>209</v>
      </c>
    </row>
    <row r="148" spans="1:13">
      <c r="A148">
        <v>19</v>
      </c>
      <c r="B148">
        <v>2</v>
      </c>
      <c r="C148" t="s">
        <v>188</v>
      </c>
      <c r="E148" t="s">
        <v>51</v>
      </c>
      <c r="F148" t="s">
        <v>52</v>
      </c>
      <c r="G148">
        <v>1</v>
      </c>
      <c r="H148">
        <v>1E-3</v>
      </c>
      <c r="I148" t="s">
        <v>27</v>
      </c>
      <c r="J148" t="s">
        <v>173</v>
      </c>
      <c r="K148" t="s">
        <v>64</v>
      </c>
      <c r="L148">
        <v>30</v>
      </c>
      <c r="M148" t="s">
        <v>209</v>
      </c>
    </row>
    <row r="149" spans="1:13">
      <c r="A149">
        <v>19</v>
      </c>
      <c r="B149">
        <v>2</v>
      </c>
      <c r="C149" t="s">
        <v>188</v>
      </c>
      <c r="E149" t="s">
        <v>17</v>
      </c>
      <c r="F149" t="s">
        <v>18</v>
      </c>
      <c r="G149">
        <v>43</v>
      </c>
      <c r="H149">
        <v>1.4E-2</v>
      </c>
      <c r="I149" t="s">
        <v>27</v>
      </c>
      <c r="J149" t="s">
        <v>173</v>
      </c>
      <c r="K149" t="s">
        <v>64</v>
      </c>
      <c r="L149">
        <v>30</v>
      </c>
      <c r="M149" t="s">
        <v>209</v>
      </c>
    </row>
    <row r="150" spans="1:13">
      <c r="A150">
        <v>19</v>
      </c>
      <c r="B150">
        <v>2</v>
      </c>
      <c r="C150" t="s">
        <v>188</v>
      </c>
      <c r="E150" t="s">
        <v>38</v>
      </c>
      <c r="F150" t="s">
        <v>39</v>
      </c>
      <c r="G150">
        <v>2</v>
      </c>
      <c r="H150">
        <v>2E-3</v>
      </c>
      <c r="I150" t="s">
        <v>27</v>
      </c>
      <c r="J150" t="s">
        <v>173</v>
      </c>
      <c r="K150" t="s">
        <v>64</v>
      </c>
      <c r="L150">
        <v>30</v>
      </c>
      <c r="M150" t="s">
        <v>209</v>
      </c>
    </row>
    <row r="151" spans="1:13">
      <c r="A151">
        <v>32</v>
      </c>
      <c r="B151">
        <v>3</v>
      </c>
      <c r="C151" t="s">
        <v>189</v>
      </c>
      <c r="E151" t="s">
        <v>11</v>
      </c>
      <c r="F151" t="s">
        <v>12</v>
      </c>
      <c r="G151">
        <v>7</v>
      </c>
      <c r="H151">
        <v>1.8049999999999999</v>
      </c>
      <c r="I151" t="s">
        <v>13</v>
      </c>
      <c r="J151" t="s">
        <v>68</v>
      </c>
      <c r="K151" t="s">
        <v>174</v>
      </c>
      <c r="L151">
        <v>1</v>
      </c>
      <c r="M151" t="s">
        <v>210</v>
      </c>
    </row>
    <row r="152" spans="1:13">
      <c r="A152">
        <v>32</v>
      </c>
      <c r="B152">
        <v>3</v>
      </c>
      <c r="C152" t="s">
        <v>189</v>
      </c>
      <c r="E152" t="s">
        <v>69</v>
      </c>
      <c r="F152" t="s">
        <v>70</v>
      </c>
      <c r="H152">
        <v>0.19400000000000001</v>
      </c>
      <c r="I152" t="s">
        <v>13</v>
      </c>
      <c r="J152" t="s">
        <v>68</v>
      </c>
      <c r="K152" t="s">
        <v>174</v>
      </c>
      <c r="L152">
        <v>1</v>
      </c>
      <c r="M152" t="s">
        <v>210</v>
      </c>
    </row>
    <row r="153" spans="1:13">
      <c r="A153">
        <v>32</v>
      </c>
      <c r="B153">
        <v>3</v>
      </c>
      <c r="C153" t="s">
        <v>189</v>
      </c>
      <c r="E153" t="s">
        <v>71</v>
      </c>
      <c r="F153" t="s">
        <v>72</v>
      </c>
      <c r="H153">
        <v>1.69</v>
      </c>
      <c r="I153" t="s">
        <v>13</v>
      </c>
      <c r="J153" t="s">
        <v>68</v>
      </c>
      <c r="K153" t="s">
        <v>174</v>
      </c>
      <c r="L153">
        <v>1</v>
      </c>
      <c r="M153" t="s">
        <v>210</v>
      </c>
    </row>
    <row r="154" spans="1:13">
      <c r="A154">
        <v>32</v>
      </c>
      <c r="B154">
        <v>3</v>
      </c>
      <c r="C154" t="s">
        <v>189</v>
      </c>
      <c r="E154" t="s">
        <v>73</v>
      </c>
      <c r="F154" t="s">
        <v>74</v>
      </c>
      <c r="H154">
        <v>5.0000000000000001E-3</v>
      </c>
      <c r="I154" t="s">
        <v>13</v>
      </c>
      <c r="J154" t="s">
        <v>68</v>
      </c>
      <c r="K154" t="s">
        <v>174</v>
      </c>
      <c r="L154">
        <v>1</v>
      </c>
      <c r="M154" t="s">
        <v>210</v>
      </c>
    </row>
    <row r="155" spans="1:13">
      <c r="A155">
        <v>32</v>
      </c>
      <c r="B155">
        <v>3</v>
      </c>
      <c r="C155" t="s">
        <v>189</v>
      </c>
      <c r="E155" t="s">
        <v>75</v>
      </c>
      <c r="F155" t="s">
        <v>76</v>
      </c>
      <c r="H155">
        <v>1E-3</v>
      </c>
      <c r="I155" t="s">
        <v>13</v>
      </c>
      <c r="J155" t="s">
        <v>68</v>
      </c>
      <c r="K155" t="s">
        <v>174</v>
      </c>
      <c r="L155">
        <v>1</v>
      </c>
      <c r="M155" t="s">
        <v>210</v>
      </c>
    </row>
    <row r="156" spans="1:13">
      <c r="A156">
        <v>32</v>
      </c>
      <c r="B156">
        <v>3</v>
      </c>
      <c r="C156" t="s">
        <v>189</v>
      </c>
      <c r="E156" t="s">
        <v>77</v>
      </c>
      <c r="F156" t="s">
        <v>78</v>
      </c>
      <c r="G156">
        <v>1</v>
      </c>
      <c r="H156">
        <v>8.9999999999999993E-3</v>
      </c>
      <c r="I156" t="s">
        <v>13</v>
      </c>
      <c r="J156" t="s">
        <v>68</v>
      </c>
      <c r="K156" t="s">
        <v>174</v>
      </c>
      <c r="L156">
        <v>1</v>
      </c>
      <c r="M156" t="s">
        <v>210</v>
      </c>
    </row>
    <row r="157" spans="1:13">
      <c r="A157">
        <v>32</v>
      </c>
      <c r="B157">
        <v>3</v>
      </c>
      <c r="C157" t="s">
        <v>189</v>
      </c>
      <c r="E157" t="s">
        <v>79</v>
      </c>
      <c r="F157" t="s">
        <v>80</v>
      </c>
      <c r="G157">
        <v>39</v>
      </c>
      <c r="H157">
        <v>1.7000000000000001E-2</v>
      </c>
      <c r="I157" t="s">
        <v>13</v>
      </c>
      <c r="J157" t="s">
        <v>68</v>
      </c>
      <c r="K157" t="s">
        <v>174</v>
      </c>
      <c r="L157">
        <v>1</v>
      </c>
      <c r="M157" t="s">
        <v>210</v>
      </c>
    </row>
    <row r="158" spans="1:13">
      <c r="A158">
        <v>32</v>
      </c>
      <c r="B158">
        <v>3</v>
      </c>
      <c r="C158" t="s">
        <v>189</v>
      </c>
      <c r="E158" t="s">
        <v>51</v>
      </c>
      <c r="F158" t="s">
        <v>52</v>
      </c>
      <c r="G158">
        <v>7</v>
      </c>
      <c r="H158">
        <v>8.9999999999999993E-3</v>
      </c>
      <c r="I158" t="s">
        <v>13</v>
      </c>
      <c r="J158" t="s">
        <v>68</v>
      </c>
      <c r="K158" t="s">
        <v>174</v>
      </c>
      <c r="L158">
        <v>1</v>
      </c>
      <c r="M158" t="s">
        <v>210</v>
      </c>
    </row>
    <row r="159" spans="1:13">
      <c r="A159">
        <v>32</v>
      </c>
      <c r="B159">
        <v>3</v>
      </c>
      <c r="C159" t="s">
        <v>189</v>
      </c>
      <c r="E159" t="s">
        <v>49</v>
      </c>
      <c r="F159" t="s">
        <v>50</v>
      </c>
      <c r="G159">
        <v>2</v>
      </c>
      <c r="H159">
        <v>2.5000000000000001E-2</v>
      </c>
      <c r="I159" t="s">
        <v>13</v>
      </c>
      <c r="J159" t="s">
        <v>68</v>
      </c>
      <c r="K159" t="s">
        <v>174</v>
      </c>
      <c r="L159">
        <v>1</v>
      </c>
      <c r="M159" t="s">
        <v>210</v>
      </c>
    </row>
    <row r="160" spans="1:13">
      <c r="A160">
        <v>32</v>
      </c>
      <c r="B160">
        <v>3</v>
      </c>
      <c r="C160" t="s">
        <v>189</v>
      </c>
      <c r="E160" t="s">
        <v>61</v>
      </c>
      <c r="F160" t="s">
        <v>62</v>
      </c>
      <c r="G160">
        <v>2</v>
      </c>
      <c r="H160">
        <v>1.0999999999999999E-2</v>
      </c>
      <c r="I160" t="s">
        <v>13</v>
      </c>
      <c r="J160" t="s">
        <v>68</v>
      </c>
      <c r="K160" t="s">
        <v>174</v>
      </c>
      <c r="L160">
        <v>1</v>
      </c>
      <c r="M160" t="s">
        <v>210</v>
      </c>
    </row>
    <row r="161" spans="1:13">
      <c r="A161">
        <v>32</v>
      </c>
      <c r="B161">
        <v>3</v>
      </c>
      <c r="C161" t="s">
        <v>189</v>
      </c>
      <c r="E161" t="s">
        <v>30</v>
      </c>
      <c r="F161" t="s">
        <v>31</v>
      </c>
      <c r="G161">
        <v>2</v>
      </c>
      <c r="H161">
        <v>2E-3</v>
      </c>
      <c r="I161" t="s">
        <v>13</v>
      </c>
      <c r="J161" t="s">
        <v>68</v>
      </c>
      <c r="K161" t="s">
        <v>174</v>
      </c>
      <c r="L161">
        <v>1</v>
      </c>
      <c r="M161" t="s">
        <v>210</v>
      </c>
    </row>
    <row r="162" spans="1:13">
      <c r="A162">
        <v>32</v>
      </c>
      <c r="B162">
        <v>3</v>
      </c>
      <c r="C162" t="s">
        <v>189</v>
      </c>
      <c r="E162" t="s">
        <v>58</v>
      </c>
      <c r="F162" t="s">
        <v>59</v>
      </c>
      <c r="G162">
        <v>1</v>
      </c>
      <c r="H162">
        <v>2E-3</v>
      </c>
      <c r="I162" t="s">
        <v>13</v>
      </c>
      <c r="J162" t="s">
        <v>68</v>
      </c>
      <c r="K162" t="s">
        <v>174</v>
      </c>
      <c r="L162">
        <v>1</v>
      </c>
      <c r="M162" t="s">
        <v>210</v>
      </c>
    </row>
    <row r="163" spans="1:13">
      <c r="A163">
        <v>32</v>
      </c>
      <c r="B163">
        <v>3</v>
      </c>
      <c r="C163" t="s">
        <v>189</v>
      </c>
      <c r="E163" t="s">
        <v>40</v>
      </c>
      <c r="F163" t="s">
        <v>41</v>
      </c>
      <c r="G163">
        <v>2</v>
      </c>
      <c r="H163">
        <v>2E-3</v>
      </c>
      <c r="I163" t="s">
        <v>13</v>
      </c>
      <c r="J163" t="s">
        <v>68</v>
      </c>
      <c r="K163" t="s">
        <v>174</v>
      </c>
      <c r="L163">
        <v>1</v>
      </c>
      <c r="M163" t="s">
        <v>210</v>
      </c>
    </row>
    <row r="164" spans="1:13">
      <c r="A164">
        <v>32</v>
      </c>
      <c r="B164">
        <v>3</v>
      </c>
      <c r="C164" t="s">
        <v>189</v>
      </c>
      <c r="E164" t="s">
        <v>17</v>
      </c>
      <c r="F164" t="s">
        <v>18</v>
      </c>
      <c r="G164">
        <v>1</v>
      </c>
      <c r="H164">
        <v>2E-3</v>
      </c>
      <c r="I164" t="s">
        <v>13</v>
      </c>
      <c r="J164" t="s">
        <v>68</v>
      </c>
      <c r="K164" t="s">
        <v>174</v>
      </c>
      <c r="L164">
        <v>1</v>
      </c>
      <c r="M164" t="s">
        <v>210</v>
      </c>
    </row>
    <row r="165" spans="1:13">
      <c r="A165">
        <v>32</v>
      </c>
      <c r="B165">
        <v>3</v>
      </c>
      <c r="C165" t="s">
        <v>189</v>
      </c>
      <c r="E165" t="s">
        <v>65</v>
      </c>
      <c r="F165" t="s">
        <v>66</v>
      </c>
      <c r="G165">
        <v>1</v>
      </c>
      <c r="H165">
        <v>1E-3</v>
      </c>
      <c r="I165" t="s">
        <v>13</v>
      </c>
      <c r="J165" t="s">
        <v>68</v>
      </c>
      <c r="K165" t="s">
        <v>174</v>
      </c>
      <c r="L165">
        <v>1</v>
      </c>
      <c r="M165" t="s">
        <v>210</v>
      </c>
    </row>
    <row r="166" spans="1:13">
      <c r="A166">
        <v>32</v>
      </c>
      <c r="B166">
        <v>3</v>
      </c>
      <c r="C166" t="s">
        <v>189</v>
      </c>
      <c r="E166" t="s">
        <v>81</v>
      </c>
      <c r="F166" t="s">
        <v>82</v>
      </c>
      <c r="G166">
        <v>56</v>
      </c>
      <c r="H166">
        <v>1.228</v>
      </c>
      <c r="I166" t="s">
        <v>13</v>
      </c>
      <c r="J166" t="s">
        <v>68</v>
      </c>
      <c r="K166" t="s">
        <v>174</v>
      </c>
      <c r="L166">
        <v>1</v>
      </c>
      <c r="M166" t="s">
        <v>210</v>
      </c>
    </row>
    <row r="167" spans="1:13">
      <c r="A167">
        <v>32</v>
      </c>
      <c r="B167">
        <v>3</v>
      </c>
      <c r="C167" t="s">
        <v>189</v>
      </c>
      <c r="E167" t="s">
        <v>22</v>
      </c>
      <c r="F167" t="s">
        <v>23</v>
      </c>
      <c r="G167">
        <v>337</v>
      </c>
      <c r="H167">
        <v>0.74099999999999999</v>
      </c>
      <c r="I167" t="s">
        <v>13</v>
      </c>
      <c r="J167" t="s">
        <v>68</v>
      </c>
      <c r="K167" t="s">
        <v>174</v>
      </c>
      <c r="L167">
        <v>1</v>
      </c>
      <c r="M167" t="s">
        <v>210</v>
      </c>
    </row>
    <row r="168" spans="1:13">
      <c r="A168">
        <v>32</v>
      </c>
      <c r="B168">
        <v>1</v>
      </c>
      <c r="C168" t="s">
        <v>190</v>
      </c>
      <c r="E168" t="s">
        <v>71</v>
      </c>
      <c r="F168" t="s">
        <v>72</v>
      </c>
      <c r="H168">
        <v>2.9159999999999999</v>
      </c>
      <c r="I168" t="s">
        <v>13</v>
      </c>
      <c r="J168" t="s">
        <v>83</v>
      </c>
      <c r="K168" t="s">
        <v>174</v>
      </c>
      <c r="L168">
        <v>1</v>
      </c>
      <c r="M168" t="s">
        <v>210</v>
      </c>
    </row>
    <row r="169" spans="1:13">
      <c r="A169">
        <v>32</v>
      </c>
      <c r="B169">
        <v>1</v>
      </c>
      <c r="C169" t="s">
        <v>190</v>
      </c>
      <c r="E169" t="s">
        <v>84</v>
      </c>
      <c r="F169" t="s">
        <v>85</v>
      </c>
      <c r="G169">
        <v>2</v>
      </c>
      <c r="H169">
        <v>0.83899999999999997</v>
      </c>
      <c r="I169" t="s">
        <v>13</v>
      </c>
      <c r="J169" t="s">
        <v>83</v>
      </c>
      <c r="K169" t="s">
        <v>174</v>
      </c>
      <c r="L169">
        <v>1</v>
      </c>
      <c r="M169" t="s">
        <v>210</v>
      </c>
    </row>
    <row r="170" spans="1:13">
      <c r="A170">
        <v>32</v>
      </c>
      <c r="B170">
        <v>1</v>
      </c>
      <c r="C170" t="s">
        <v>190</v>
      </c>
      <c r="E170" t="s">
        <v>11</v>
      </c>
      <c r="F170" t="s">
        <v>12</v>
      </c>
      <c r="G170">
        <v>3</v>
      </c>
      <c r="H170">
        <v>4.1500000000000004</v>
      </c>
      <c r="I170" t="s">
        <v>13</v>
      </c>
      <c r="J170" t="s">
        <v>83</v>
      </c>
      <c r="K170" t="s">
        <v>174</v>
      </c>
      <c r="L170">
        <v>1</v>
      </c>
      <c r="M170" t="s">
        <v>210</v>
      </c>
    </row>
    <row r="171" spans="1:13">
      <c r="A171">
        <v>32</v>
      </c>
      <c r="B171">
        <v>1</v>
      </c>
      <c r="C171" t="s">
        <v>190</v>
      </c>
      <c r="E171" t="s">
        <v>75</v>
      </c>
      <c r="F171" t="s">
        <v>76</v>
      </c>
      <c r="H171">
        <v>0.114</v>
      </c>
      <c r="I171" t="s">
        <v>13</v>
      </c>
      <c r="J171" t="s">
        <v>83</v>
      </c>
      <c r="K171" t="s">
        <v>174</v>
      </c>
      <c r="L171">
        <v>1</v>
      </c>
      <c r="M171" t="s">
        <v>210</v>
      </c>
    </row>
    <row r="172" spans="1:13">
      <c r="A172">
        <v>32</v>
      </c>
      <c r="B172">
        <v>1</v>
      </c>
      <c r="C172" t="s">
        <v>190</v>
      </c>
      <c r="E172" t="s">
        <v>86</v>
      </c>
      <c r="F172" t="s">
        <v>87</v>
      </c>
      <c r="H172">
        <v>1E-3</v>
      </c>
      <c r="I172" t="s">
        <v>13</v>
      </c>
      <c r="J172" t="s">
        <v>83</v>
      </c>
      <c r="K172" t="s">
        <v>174</v>
      </c>
      <c r="L172">
        <v>1</v>
      </c>
      <c r="M172" t="s">
        <v>210</v>
      </c>
    </row>
    <row r="173" spans="1:13">
      <c r="A173">
        <v>32</v>
      </c>
      <c r="B173">
        <v>1</v>
      </c>
      <c r="C173" t="s">
        <v>190</v>
      </c>
      <c r="E173" t="s">
        <v>88</v>
      </c>
      <c r="F173" t="s">
        <v>89</v>
      </c>
      <c r="H173">
        <v>1.9E-2</v>
      </c>
      <c r="I173" t="s">
        <v>13</v>
      </c>
      <c r="J173" t="s">
        <v>83</v>
      </c>
      <c r="K173" t="s">
        <v>174</v>
      </c>
      <c r="L173">
        <v>1</v>
      </c>
      <c r="M173" t="s">
        <v>210</v>
      </c>
    </row>
    <row r="174" spans="1:13">
      <c r="A174">
        <v>32</v>
      </c>
      <c r="B174">
        <v>1</v>
      </c>
      <c r="C174" t="s">
        <v>190</v>
      </c>
      <c r="E174" t="s">
        <v>90</v>
      </c>
      <c r="F174" t="s">
        <v>91</v>
      </c>
      <c r="G174">
        <v>1</v>
      </c>
      <c r="H174">
        <v>3.9E-2</v>
      </c>
      <c r="I174" t="s">
        <v>13</v>
      </c>
      <c r="J174" t="s">
        <v>83</v>
      </c>
      <c r="K174" t="s">
        <v>174</v>
      </c>
      <c r="L174">
        <v>1</v>
      </c>
      <c r="M174" t="s">
        <v>210</v>
      </c>
    </row>
    <row r="175" spans="1:13">
      <c r="A175">
        <v>32</v>
      </c>
      <c r="B175">
        <v>1</v>
      </c>
      <c r="C175" t="s">
        <v>190</v>
      </c>
      <c r="E175" t="s">
        <v>92</v>
      </c>
      <c r="F175" t="s">
        <v>93</v>
      </c>
      <c r="G175">
        <v>3</v>
      </c>
      <c r="H175">
        <v>3.0000000000000001E-3</v>
      </c>
      <c r="I175" t="s">
        <v>13</v>
      </c>
      <c r="J175" t="s">
        <v>83</v>
      </c>
      <c r="K175" t="s">
        <v>174</v>
      </c>
      <c r="L175">
        <v>1</v>
      </c>
      <c r="M175" t="s">
        <v>210</v>
      </c>
    </row>
    <row r="176" spans="1:13">
      <c r="A176">
        <v>32</v>
      </c>
      <c r="B176">
        <v>1</v>
      </c>
      <c r="C176" t="s">
        <v>190</v>
      </c>
      <c r="E176" t="s">
        <v>94</v>
      </c>
      <c r="F176" t="s">
        <v>95</v>
      </c>
      <c r="G176">
        <v>5</v>
      </c>
      <c r="H176">
        <v>5.0000000000000001E-3</v>
      </c>
      <c r="I176" t="s">
        <v>13</v>
      </c>
      <c r="J176" t="s">
        <v>83</v>
      </c>
      <c r="K176" t="s">
        <v>174</v>
      </c>
      <c r="L176">
        <v>1</v>
      </c>
      <c r="M176" t="s">
        <v>210</v>
      </c>
    </row>
    <row r="177" spans="1:13">
      <c r="A177">
        <v>32</v>
      </c>
      <c r="B177">
        <v>1</v>
      </c>
      <c r="C177" t="s">
        <v>190</v>
      </c>
      <c r="E177" t="s">
        <v>96</v>
      </c>
      <c r="F177" t="s">
        <v>97</v>
      </c>
      <c r="G177">
        <v>5</v>
      </c>
      <c r="H177">
        <v>5.0000000000000001E-3</v>
      </c>
      <c r="I177" t="s">
        <v>13</v>
      </c>
      <c r="J177" t="s">
        <v>83</v>
      </c>
      <c r="K177" t="s">
        <v>174</v>
      </c>
      <c r="L177">
        <v>1</v>
      </c>
      <c r="M177" t="s">
        <v>210</v>
      </c>
    </row>
    <row r="178" spans="1:13">
      <c r="A178">
        <v>32</v>
      </c>
      <c r="B178">
        <v>1</v>
      </c>
      <c r="C178" t="s">
        <v>190</v>
      </c>
      <c r="E178" t="s">
        <v>61</v>
      </c>
      <c r="F178" t="s">
        <v>62</v>
      </c>
      <c r="G178">
        <v>1</v>
      </c>
      <c r="H178">
        <v>4.0000000000000001E-3</v>
      </c>
      <c r="I178" t="s">
        <v>13</v>
      </c>
      <c r="J178" t="s">
        <v>83</v>
      </c>
      <c r="K178" t="s">
        <v>174</v>
      </c>
      <c r="L178">
        <v>1</v>
      </c>
      <c r="M178" t="s">
        <v>210</v>
      </c>
    </row>
    <row r="179" spans="1:13">
      <c r="A179">
        <v>32</v>
      </c>
      <c r="B179">
        <v>1</v>
      </c>
      <c r="C179" t="s">
        <v>190</v>
      </c>
      <c r="E179" t="s">
        <v>30</v>
      </c>
      <c r="F179" t="s">
        <v>31</v>
      </c>
      <c r="G179">
        <v>1</v>
      </c>
      <c r="H179">
        <v>1E-3</v>
      </c>
      <c r="I179" t="s">
        <v>13</v>
      </c>
      <c r="J179" t="s">
        <v>83</v>
      </c>
      <c r="K179" t="s">
        <v>174</v>
      </c>
      <c r="L179">
        <v>1</v>
      </c>
      <c r="M179" t="s">
        <v>210</v>
      </c>
    </row>
    <row r="180" spans="1:13">
      <c r="A180">
        <v>32</v>
      </c>
      <c r="B180">
        <v>1</v>
      </c>
      <c r="C180" t="s">
        <v>190</v>
      </c>
      <c r="E180" t="s">
        <v>38</v>
      </c>
      <c r="F180" t="s">
        <v>39</v>
      </c>
      <c r="G180">
        <v>1</v>
      </c>
      <c r="H180">
        <v>5.0000000000000001E-3</v>
      </c>
      <c r="I180" t="s">
        <v>13</v>
      </c>
      <c r="J180" t="s">
        <v>83</v>
      </c>
      <c r="K180" t="s">
        <v>174</v>
      </c>
      <c r="L180">
        <v>1</v>
      </c>
      <c r="M180" t="s">
        <v>210</v>
      </c>
    </row>
    <row r="181" spans="1:13">
      <c r="A181">
        <v>32</v>
      </c>
      <c r="B181">
        <v>1</v>
      </c>
      <c r="C181" t="s">
        <v>190</v>
      </c>
      <c r="E181" t="s">
        <v>79</v>
      </c>
      <c r="F181" t="s">
        <v>80</v>
      </c>
      <c r="G181">
        <v>10</v>
      </c>
      <c r="H181">
        <v>5.0000000000000001E-3</v>
      </c>
      <c r="I181" t="s">
        <v>13</v>
      </c>
      <c r="J181" t="s">
        <v>83</v>
      </c>
      <c r="K181" t="s">
        <v>174</v>
      </c>
      <c r="L181">
        <v>1</v>
      </c>
      <c r="M181" t="s">
        <v>210</v>
      </c>
    </row>
    <row r="182" spans="1:13">
      <c r="A182">
        <v>32</v>
      </c>
      <c r="B182">
        <v>1</v>
      </c>
      <c r="C182" t="s">
        <v>190</v>
      </c>
      <c r="E182" t="s">
        <v>51</v>
      </c>
      <c r="F182" t="s">
        <v>52</v>
      </c>
      <c r="G182">
        <v>1</v>
      </c>
      <c r="H182">
        <v>1E-3</v>
      </c>
      <c r="I182" t="s">
        <v>13</v>
      </c>
      <c r="J182" t="s">
        <v>83</v>
      </c>
      <c r="K182" t="s">
        <v>174</v>
      </c>
      <c r="L182">
        <v>1</v>
      </c>
      <c r="M182" t="s">
        <v>210</v>
      </c>
    </row>
    <row r="183" spans="1:13">
      <c r="A183">
        <v>32</v>
      </c>
      <c r="B183">
        <v>1</v>
      </c>
      <c r="C183" t="s">
        <v>190</v>
      </c>
      <c r="E183" t="s">
        <v>40</v>
      </c>
      <c r="F183" t="s">
        <v>41</v>
      </c>
      <c r="G183">
        <v>1</v>
      </c>
      <c r="H183">
        <v>1E-3</v>
      </c>
      <c r="I183" t="s">
        <v>13</v>
      </c>
      <c r="J183" t="s">
        <v>83</v>
      </c>
      <c r="K183" t="s">
        <v>174</v>
      </c>
      <c r="L183">
        <v>1</v>
      </c>
      <c r="M183" t="s">
        <v>210</v>
      </c>
    </row>
    <row r="184" spans="1:13">
      <c r="A184">
        <v>32</v>
      </c>
      <c r="B184">
        <v>1</v>
      </c>
      <c r="C184" t="s">
        <v>190</v>
      </c>
      <c r="E184" t="s">
        <v>98</v>
      </c>
      <c r="F184" t="s">
        <v>99</v>
      </c>
      <c r="G184">
        <v>1</v>
      </c>
      <c r="H184">
        <v>3.0000000000000001E-3</v>
      </c>
      <c r="I184" t="s">
        <v>13</v>
      </c>
      <c r="J184" t="s">
        <v>83</v>
      </c>
      <c r="K184" t="s">
        <v>174</v>
      </c>
      <c r="L184">
        <v>1</v>
      </c>
      <c r="M184" t="s">
        <v>210</v>
      </c>
    </row>
    <row r="185" spans="1:13">
      <c r="A185">
        <v>32</v>
      </c>
      <c r="B185">
        <v>1</v>
      </c>
      <c r="C185" t="s">
        <v>190</v>
      </c>
      <c r="E185" t="s">
        <v>81</v>
      </c>
      <c r="F185" t="s">
        <v>82</v>
      </c>
      <c r="G185">
        <v>162</v>
      </c>
      <c r="H185">
        <v>1.1180000000000001</v>
      </c>
      <c r="I185" t="s">
        <v>13</v>
      </c>
      <c r="J185" t="s">
        <v>83</v>
      </c>
      <c r="K185" t="s">
        <v>174</v>
      </c>
      <c r="L185">
        <v>1</v>
      </c>
      <c r="M185" t="s">
        <v>210</v>
      </c>
    </row>
    <row r="186" spans="1:13">
      <c r="A186">
        <v>32</v>
      </c>
      <c r="B186">
        <v>1</v>
      </c>
      <c r="C186" t="s">
        <v>190</v>
      </c>
      <c r="E186" t="s">
        <v>100</v>
      </c>
      <c r="F186" t="s">
        <v>101</v>
      </c>
      <c r="G186">
        <v>1</v>
      </c>
      <c r="H186">
        <v>3.0000000000000001E-3</v>
      </c>
      <c r="I186" t="s">
        <v>13</v>
      </c>
      <c r="J186" t="s">
        <v>83</v>
      </c>
      <c r="K186" t="s">
        <v>174</v>
      </c>
      <c r="L186">
        <v>1</v>
      </c>
      <c r="M186" t="s">
        <v>210</v>
      </c>
    </row>
    <row r="187" spans="1:13">
      <c r="A187">
        <v>32</v>
      </c>
      <c r="B187">
        <v>1</v>
      </c>
      <c r="C187" t="s">
        <v>190</v>
      </c>
      <c r="E187" t="s">
        <v>22</v>
      </c>
      <c r="F187" t="s">
        <v>23</v>
      </c>
      <c r="G187">
        <v>825</v>
      </c>
      <c r="H187">
        <v>2.036</v>
      </c>
      <c r="I187" t="s">
        <v>13</v>
      </c>
      <c r="J187" t="s">
        <v>102</v>
      </c>
      <c r="K187" t="s">
        <v>174</v>
      </c>
      <c r="L187">
        <v>1</v>
      </c>
      <c r="M187" t="s">
        <v>210</v>
      </c>
    </row>
    <row r="188" spans="1:13">
      <c r="A188">
        <v>34</v>
      </c>
      <c r="B188">
        <v>3</v>
      </c>
      <c r="C188" t="s">
        <v>191</v>
      </c>
      <c r="E188" t="s">
        <v>81</v>
      </c>
      <c r="F188" t="s">
        <v>82</v>
      </c>
      <c r="G188">
        <v>251</v>
      </c>
      <c r="H188">
        <v>0.55300000000000005</v>
      </c>
      <c r="I188" t="s">
        <v>13</v>
      </c>
      <c r="J188" t="s">
        <v>102</v>
      </c>
      <c r="K188" t="s">
        <v>174</v>
      </c>
      <c r="L188">
        <v>1</v>
      </c>
      <c r="M188" t="s">
        <v>210</v>
      </c>
    </row>
    <row r="189" spans="1:13">
      <c r="A189">
        <v>34</v>
      </c>
      <c r="B189">
        <v>3</v>
      </c>
      <c r="C189" t="s">
        <v>191</v>
      </c>
      <c r="E189" t="s">
        <v>11</v>
      </c>
      <c r="F189" t="s">
        <v>12</v>
      </c>
      <c r="G189">
        <v>7</v>
      </c>
      <c r="H189">
        <v>6.0250000000000004</v>
      </c>
      <c r="I189" t="s">
        <v>13</v>
      </c>
      <c r="J189" t="s">
        <v>102</v>
      </c>
      <c r="K189" t="s">
        <v>174</v>
      </c>
      <c r="L189">
        <v>1</v>
      </c>
      <c r="M189" t="s">
        <v>210</v>
      </c>
    </row>
    <row r="190" spans="1:13">
      <c r="A190">
        <v>34</v>
      </c>
      <c r="B190">
        <v>3</v>
      </c>
      <c r="C190" t="s">
        <v>191</v>
      </c>
      <c r="E190" t="s">
        <v>33</v>
      </c>
      <c r="F190" t="s">
        <v>34</v>
      </c>
      <c r="G190">
        <v>1</v>
      </c>
      <c r="H190">
        <v>0.28799999999999998</v>
      </c>
      <c r="I190" t="s">
        <v>13</v>
      </c>
      <c r="J190" t="s">
        <v>102</v>
      </c>
      <c r="K190" t="s">
        <v>174</v>
      </c>
      <c r="L190">
        <v>1</v>
      </c>
      <c r="M190" t="s">
        <v>210</v>
      </c>
    </row>
    <row r="191" spans="1:13">
      <c r="A191">
        <v>34</v>
      </c>
      <c r="B191">
        <v>3</v>
      </c>
      <c r="C191" t="s">
        <v>191</v>
      </c>
      <c r="E191" t="s">
        <v>84</v>
      </c>
      <c r="F191" t="s">
        <v>85</v>
      </c>
      <c r="G191">
        <v>1</v>
      </c>
      <c r="H191">
        <v>1.1659999999999999</v>
      </c>
      <c r="I191" t="s">
        <v>13</v>
      </c>
      <c r="J191" t="s">
        <v>102</v>
      </c>
      <c r="K191" t="s">
        <v>174</v>
      </c>
      <c r="L191">
        <v>1</v>
      </c>
      <c r="M191" t="s">
        <v>210</v>
      </c>
    </row>
    <row r="192" spans="1:13">
      <c r="A192">
        <v>34</v>
      </c>
      <c r="B192">
        <v>3</v>
      </c>
      <c r="C192" t="s">
        <v>191</v>
      </c>
      <c r="E192" t="s">
        <v>103</v>
      </c>
      <c r="F192" t="s">
        <v>104</v>
      </c>
      <c r="G192">
        <v>14</v>
      </c>
      <c r="H192">
        <v>1.708</v>
      </c>
      <c r="I192" t="s">
        <v>13</v>
      </c>
      <c r="J192" t="s">
        <v>105</v>
      </c>
      <c r="K192" t="s">
        <v>174</v>
      </c>
      <c r="L192">
        <v>1</v>
      </c>
      <c r="M192" t="s">
        <v>210</v>
      </c>
    </row>
    <row r="193" spans="1:13">
      <c r="A193">
        <v>34</v>
      </c>
      <c r="B193">
        <v>3</v>
      </c>
      <c r="C193" t="s">
        <v>191</v>
      </c>
      <c r="E193" t="s">
        <v>106</v>
      </c>
      <c r="F193" t="s">
        <v>107</v>
      </c>
      <c r="G193">
        <v>1</v>
      </c>
      <c r="H193">
        <v>6.0000000000000001E-3</v>
      </c>
      <c r="I193" t="s">
        <v>13</v>
      </c>
      <c r="J193" t="s">
        <v>102</v>
      </c>
      <c r="K193" t="s">
        <v>174</v>
      </c>
      <c r="L193">
        <v>1</v>
      </c>
      <c r="M193" t="s">
        <v>210</v>
      </c>
    </row>
    <row r="194" spans="1:13">
      <c r="A194">
        <v>34</v>
      </c>
      <c r="B194">
        <v>3</v>
      </c>
      <c r="C194" t="s">
        <v>191</v>
      </c>
      <c r="E194" t="s">
        <v>71</v>
      </c>
      <c r="F194" t="s">
        <v>72</v>
      </c>
      <c r="H194">
        <v>1E-3</v>
      </c>
      <c r="I194" t="s">
        <v>13</v>
      </c>
      <c r="J194" t="s">
        <v>102</v>
      </c>
      <c r="K194" t="s">
        <v>174</v>
      </c>
      <c r="L194">
        <v>1</v>
      </c>
      <c r="M194" t="s">
        <v>210</v>
      </c>
    </row>
    <row r="195" spans="1:13">
      <c r="A195">
        <v>34</v>
      </c>
      <c r="B195">
        <v>3</v>
      </c>
      <c r="C195" t="s">
        <v>191</v>
      </c>
      <c r="E195" t="s">
        <v>75</v>
      </c>
      <c r="F195" t="s">
        <v>76</v>
      </c>
      <c r="H195">
        <v>1E-3</v>
      </c>
      <c r="I195" t="s">
        <v>13</v>
      </c>
      <c r="J195" t="s">
        <v>102</v>
      </c>
      <c r="K195" t="s">
        <v>174</v>
      </c>
      <c r="L195">
        <v>1</v>
      </c>
      <c r="M195" t="s">
        <v>210</v>
      </c>
    </row>
    <row r="196" spans="1:13">
      <c r="A196">
        <v>34</v>
      </c>
      <c r="B196">
        <v>3</v>
      </c>
      <c r="C196" t="s">
        <v>191</v>
      </c>
      <c r="E196" t="s">
        <v>108</v>
      </c>
      <c r="F196" t="s">
        <v>109</v>
      </c>
      <c r="H196">
        <v>1E-3</v>
      </c>
      <c r="I196" t="s">
        <v>13</v>
      </c>
      <c r="J196" t="s">
        <v>102</v>
      </c>
      <c r="K196" t="s">
        <v>174</v>
      </c>
      <c r="L196">
        <v>1</v>
      </c>
      <c r="M196" t="s">
        <v>210</v>
      </c>
    </row>
    <row r="197" spans="1:13">
      <c r="A197">
        <v>34</v>
      </c>
      <c r="B197">
        <v>3</v>
      </c>
      <c r="C197" t="s">
        <v>191</v>
      </c>
      <c r="E197" t="s">
        <v>22</v>
      </c>
      <c r="F197" t="s">
        <v>23</v>
      </c>
      <c r="G197">
        <v>68</v>
      </c>
      <c r="H197">
        <v>0.109</v>
      </c>
      <c r="I197" t="s">
        <v>13</v>
      </c>
      <c r="J197" t="s">
        <v>102</v>
      </c>
      <c r="K197" t="s">
        <v>174</v>
      </c>
      <c r="L197">
        <v>1</v>
      </c>
      <c r="M197" t="s">
        <v>210</v>
      </c>
    </row>
    <row r="198" spans="1:13">
      <c r="A198">
        <v>34</v>
      </c>
      <c r="B198">
        <v>3</v>
      </c>
      <c r="C198" t="s">
        <v>191</v>
      </c>
      <c r="E198" t="s">
        <v>110</v>
      </c>
      <c r="F198" t="s">
        <v>111</v>
      </c>
      <c r="G198">
        <v>1</v>
      </c>
      <c r="H198">
        <v>1E-3</v>
      </c>
      <c r="I198" t="s">
        <v>13</v>
      </c>
      <c r="J198" t="s">
        <v>102</v>
      </c>
      <c r="K198" t="s">
        <v>174</v>
      </c>
      <c r="L198">
        <v>1</v>
      </c>
      <c r="M198" t="s">
        <v>210</v>
      </c>
    </row>
    <row r="199" spans="1:13">
      <c r="A199">
        <v>34</v>
      </c>
      <c r="B199">
        <v>3</v>
      </c>
      <c r="C199" t="s">
        <v>191</v>
      </c>
      <c r="E199" t="s">
        <v>79</v>
      </c>
      <c r="F199" t="s">
        <v>80</v>
      </c>
      <c r="G199">
        <v>1</v>
      </c>
      <c r="H199">
        <v>2E-3</v>
      </c>
      <c r="I199" t="s">
        <v>13</v>
      </c>
      <c r="J199" t="s">
        <v>102</v>
      </c>
      <c r="K199" t="s">
        <v>174</v>
      </c>
      <c r="L199">
        <v>1</v>
      </c>
      <c r="M199" t="s">
        <v>210</v>
      </c>
    </row>
    <row r="200" spans="1:13">
      <c r="A200">
        <v>34</v>
      </c>
      <c r="B200">
        <v>3</v>
      </c>
      <c r="C200" t="s">
        <v>191</v>
      </c>
      <c r="E200" t="s">
        <v>112</v>
      </c>
      <c r="F200" t="s">
        <v>113</v>
      </c>
      <c r="G200">
        <v>1</v>
      </c>
      <c r="H200">
        <v>1E-3</v>
      </c>
      <c r="I200" t="s">
        <v>13</v>
      </c>
      <c r="J200" t="s">
        <v>102</v>
      </c>
      <c r="K200" t="s">
        <v>174</v>
      </c>
      <c r="L200">
        <v>1</v>
      </c>
      <c r="M200" t="s">
        <v>210</v>
      </c>
    </row>
    <row r="201" spans="1:13">
      <c r="A201">
        <v>34</v>
      </c>
      <c r="B201">
        <v>3</v>
      </c>
      <c r="C201" t="s">
        <v>191</v>
      </c>
      <c r="E201" t="s">
        <v>40</v>
      </c>
      <c r="F201" t="s">
        <v>41</v>
      </c>
      <c r="G201">
        <v>1</v>
      </c>
      <c r="H201">
        <v>1E-3</v>
      </c>
      <c r="I201" t="s">
        <v>13</v>
      </c>
      <c r="J201" t="s">
        <v>102</v>
      </c>
      <c r="K201" t="s">
        <v>174</v>
      </c>
      <c r="L201">
        <v>1</v>
      </c>
      <c r="M201" t="s">
        <v>210</v>
      </c>
    </row>
    <row r="202" spans="1:13">
      <c r="A202">
        <v>34</v>
      </c>
      <c r="B202">
        <v>3</v>
      </c>
      <c r="C202" t="s">
        <v>191</v>
      </c>
      <c r="E202" t="s">
        <v>92</v>
      </c>
      <c r="F202" t="s">
        <v>93</v>
      </c>
      <c r="G202">
        <v>36</v>
      </c>
      <c r="H202">
        <v>0.159</v>
      </c>
      <c r="I202" t="s">
        <v>13</v>
      </c>
      <c r="J202" t="s">
        <v>102</v>
      </c>
      <c r="K202" t="s">
        <v>174</v>
      </c>
      <c r="L202">
        <v>1</v>
      </c>
      <c r="M202" t="s">
        <v>210</v>
      </c>
    </row>
    <row r="203" spans="1:13">
      <c r="A203">
        <v>34</v>
      </c>
      <c r="B203">
        <v>3</v>
      </c>
      <c r="C203" t="s">
        <v>191</v>
      </c>
      <c r="E203" t="s">
        <v>114</v>
      </c>
      <c r="F203" t="s">
        <v>115</v>
      </c>
      <c r="G203">
        <v>2</v>
      </c>
      <c r="H203">
        <v>6.0000000000000001E-3</v>
      </c>
      <c r="I203" t="s">
        <v>13</v>
      </c>
      <c r="J203" t="s">
        <v>102</v>
      </c>
      <c r="K203" t="s">
        <v>174</v>
      </c>
      <c r="L203">
        <v>1</v>
      </c>
      <c r="M203" t="s">
        <v>210</v>
      </c>
    </row>
    <row r="204" spans="1:13">
      <c r="A204">
        <v>34</v>
      </c>
      <c r="B204">
        <v>2</v>
      </c>
      <c r="C204" t="s">
        <v>192</v>
      </c>
      <c r="E204" t="s">
        <v>81</v>
      </c>
      <c r="F204" t="s">
        <v>82</v>
      </c>
      <c r="G204">
        <v>625</v>
      </c>
      <c r="H204">
        <v>10.138999999999999</v>
      </c>
      <c r="I204" t="s">
        <v>13</v>
      </c>
      <c r="J204" t="s">
        <v>116</v>
      </c>
      <c r="K204" t="s">
        <v>174</v>
      </c>
      <c r="L204">
        <v>1</v>
      </c>
      <c r="M204" t="s">
        <v>210</v>
      </c>
    </row>
    <row r="205" spans="1:13">
      <c r="A205">
        <v>34</v>
      </c>
      <c r="B205">
        <v>2</v>
      </c>
      <c r="C205" t="s">
        <v>192</v>
      </c>
      <c r="E205" t="s">
        <v>22</v>
      </c>
      <c r="F205" t="s">
        <v>23</v>
      </c>
      <c r="G205">
        <v>118</v>
      </c>
      <c r="H205">
        <v>0.23100000000000001</v>
      </c>
      <c r="I205" t="s">
        <v>13</v>
      </c>
      <c r="J205" t="s">
        <v>116</v>
      </c>
      <c r="K205" t="s">
        <v>174</v>
      </c>
      <c r="L205">
        <v>1</v>
      </c>
      <c r="M205" t="s">
        <v>210</v>
      </c>
    </row>
    <row r="206" spans="1:13">
      <c r="A206">
        <v>34</v>
      </c>
      <c r="B206">
        <v>2</v>
      </c>
      <c r="C206" t="s">
        <v>192</v>
      </c>
      <c r="E206" t="s">
        <v>38</v>
      </c>
      <c r="F206" t="s">
        <v>39</v>
      </c>
      <c r="G206">
        <v>2</v>
      </c>
      <c r="H206">
        <v>4.0000000000000001E-3</v>
      </c>
      <c r="I206" t="s">
        <v>13</v>
      </c>
      <c r="J206" t="s">
        <v>116</v>
      </c>
      <c r="K206" t="s">
        <v>174</v>
      </c>
      <c r="L206">
        <v>1</v>
      </c>
      <c r="M206" t="s">
        <v>210</v>
      </c>
    </row>
    <row r="207" spans="1:13">
      <c r="A207">
        <v>34</v>
      </c>
      <c r="B207">
        <v>2</v>
      </c>
      <c r="C207" t="s">
        <v>192</v>
      </c>
      <c r="E207" t="s">
        <v>98</v>
      </c>
      <c r="F207" t="s">
        <v>99</v>
      </c>
      <c r="G207">
        <v>2</v>
      </c>
      <c r="H207">
        <v>5.0000000000000001E-3</v>
      </c>
      <c r="I207" t="s">
        <v>13</v>
      </c>
      <c r="J207" t="s">
        <v>116</v>
      </c>
      <c r="K207" t="s">
        <v>174</v>
      </c>
      <c r="L207">
        <v>1</v>
      </c>
      <c r="M207" t="s">
        <v>210</v>
      </c>
    </row>
    <row r="208" spans="1:13">
      <c r="A208">
        <v>34</v>
      </c>
      <c r="B208">
        <v>2</v>
      </c>
      <c r="C208" t="s">
        <v>192</v>
      </c>
      <c r="E208" t="s">
        <v>40</v>
      </c>
      <c r="F208" t="s">
        <v>41</v>
      </c>
      <c r="G208">
        <v>1</v>
      </c>
      <c r="H208">
        <v>1E-3</v>
      </c>
      <c r="I208" t="s">
        <v>13</v>
      </c>
      <c r="J208" t="s">
        <v>116</v>
      </c>
      <c r="K208" t="s">
        <v>174</v>
      </c>
      <c r="L208">
        <v>1</v>
      </c>
      <c r="M208" t="s">
        <v>210</v>
      </c>
    </row>
    <row r="209" spans="1:13">
      <c r="A209">
        <v>34</v>
      </c>
      <c r="B209">
        <v>2</v>
      </c>
      <c r="C209" t="s">
        <v>192</v>
      </c>
      <c r="E209" t="s">
        <v>61</v>
      </c>
      <c r="F209" t="s">
        <v>62</v>
      </c>
      <c r="G209">
        <v>1</v>
      </c>
      <c r="H209">
        <v>3.0000000000000001E-3</v>
      </c>
      <c r="I209" t="s">
        <v>13</v>
      </c>
      <c r="J209" t="s">
        <v>116</v>
      </c>
      <c r="K209" t="s">
        <v>174</v>
      </c>
      <c r="L209">
        <v>1</v>
      </c>
      <c r="M209" t="s">
        <v>210</v>
      </c>
    </row>
    <row r="210" spans="1:13">
      <c r="A210">
        <v>34</v>
      </c>
      <c r="B210">
        <v>2</v>
      </c>
      <c r="C210" t="s">
        <v>192</v>
      </c>
      <c r="E210" t="s">
        <v>79</v>
      </c>
      <c r="F210" t="s">
        <v>80</v>
      </c>
      <c r="G210">
        <v>1</v>
      </c>
      <c r="H210">
        <v>3.0000000000000001E-3</v>
      </c>
      <c r="I210" t="s">
        <v>13</v>
      </c>
      <c r="J210" t="s">
        <v>116</v>
      </c>
      <c r="K210" t="s">
        <v>174</v>
      </c>
      <c r="L210">
        <v>1</v>
      </c>
      <c r="M210" t="s">
        <v>210</v>
      </c>
    </row>
    <row r="211" spans="1:13">
      <c r="A211">
        <v>34</v>
      </c>
      <c r="B211">
        <v>2</v>
      </c>
      <c r="C211" t="s">
        <v>192</v>
      </c>
      <c r="E211" t="s">
        <v>117</v>
      </c>
      <c r="F211" t="s">
        <v>118</v>
      </c>
      <c r="G211">
        <v>2</v>
      </c>
      <c r="H211">
        <v>2E-3</v>
      </c>
      <c r="I211" t="s">
        <v>13</v>
      </c>
      <c r="J211" t="s">
        <v>116</v>
      </c>
      <c r="K211" t="s">
        <v>174</v>
      </c>
      <c r="L211">
        <v>1</v>
      </c>
      <c r="M211" t="s">
        <v>210</v>
      </c>
    </row>
    <row r="212" spans="1:13">
      <c r="A212">
        <v>34</v>
      </c>
      <c r="B212">
        <v>2</v>
      </c>
      <c r="C212" t="s">
        <v>192</v>
      </c>
      <c r="E212" t="s">
        <v>103</v>
      </c>
      <c r="F212" t="s">
        <v>104</v>
      </c>
      <c r="G212">
        <v>10</v>
      </c>
      <c r="H212">
        <v>0.84699999999999998</v>
      </c>
      <c r="I212" t="s">
        <v>13</v>
      </c>
      <c r="J212" t="s">
        <v>116</v>
      </c>
      <c r="K212" t="s">
        <v>174</v>
      </c>
      <c r="L212">
        <v>1</v>
      </c>
      <c r="M212" t="s">
        <v>210</v>
      </c>
    </row>
    <row r="213" spans="1:13">
      <c r="A213">
        <v>34</v>
      </c>
      <c r="B213">
        <v>2</v>
      </c>
      <c r="C213" t="s">
        <v>192</v>
      </c>
      <c r="E213" t="s">
        <v>11</v>
      </c>
      <c r="F213" t="s">
        <v>12</v>
      </c>
      <c r="G213">
        <v>5</v>
      </c>
      <c r="H213">
        <v>8.0510000000000002</v>
      </c>
      <c r="I213" t="s">
        <v>13</v>
      </c>
      <c r="J213" t="s">
        <v>116</v>
      </c>
      <c r="K213" t="s">
        <v>174</v>
      </c>
      <c r="L213">
        <v>1</v>
      </c>
      <c r="M213" t="s">
        <v>210</v>
      </c>
    </row>
    <row r="214" spans="1:13">
      <c r="A214">
        <v>34</v>
      </c>
      <c r="B214">
        <v>2</v>
      </c>
      <c r="C214" t="s">
        <v>192</v>
      </c>
      <c r="E214" t="s">
        <v>75</v>
      </c>
      <c r="F214" t="s">
        <v>76</v>
      </c>
      <c r="H214">
        <v>1E-3</v>
      </c>
      <c r="I214" t="s">
        <v>13</v>
      </c>
      <c r="J214" t="s">
        <v>116</v>
      </c>
      <c r="K214" t="s">
        <v>174</v>
      </c>
      <c r="L214">
        <v>1</v>
      </c>
      <c r="M214" t="s">
        <v>210</v>
      </c>
    </row>
    <row r="215" spans="1:13">
      <c r="A215">
        <v>34</v>
      </c>
      <c r="B215">
        <v>2</v>
      </c>
      <c r="C215" t="s">
        <v>192</v>
      </c>
      <c r="E215" t="s">
        <v>71</v>
      </c>
      <c r="F215" t="s">
        <v>72</v>
      </c>
      <c r="H215">
        <v>1E-3</v>
      </c>
      <c r="I215" t="s">
        <v>13</v>
      </c>
      <c r="J215" t="s">
        <v>116</v>
      </c>
      <c r="K215" t="s">
        <v>174</v>
      </c>
      <c r="L215">
        <v>1</v>
      </c>
      <c r="M215" t="s">
        <v>210</v>
      </c>
    </row>
    <row r="216" spans="1:13">
      <c r="A216">
        <v>34</v>
      </c>
      <c r="B216">
        <v>2</v>
      </c>
      <c r="C216" t="s">
        <v>192</v>
      </c>
      <c r="E216" t="s">
        <v>119</v>
      </c>
      <c r="F216" t="s">
        <v>120</v>
      </c>
      <c r="H216">
        <v>1E-3</v>
      </c>
      <c r="I216" t="s">
        <v>13</v>
      </c>
      <c r="J216" t="s">
        <v>116</v>
      </c>
      <c r="K216" t="s">
        <v>174</v>
      </c>
      <c r="L216">
        <v>1</v>
      </c>
      <c r="M216" t="s">
        <v>210</v>
      </c>
    </row>
    <row r="217" spans="1:13">
      <c r="A217">
        <v>34</v>
      </c>
      <c r="B217">
        <v>2</v>
      </c>
      <c r="C217" t="s">
        <v>192</v>
      </c>
      <c r="E217" t="s">
        <v>92</v>
      </c>
      <c r="F217" t="s">
        <v>93</v>
      </c>
      <c r="G217">
        <v>16</v>
      </c>
      <c r="H217">
        <v>5.3999999999999999E-2</v>
      </c>
      <c r="I217" t="s">
        <v>13</v>
      </c>
      <c r="J217" t="s">
        <v>116</v>
      </c>
      <c r="K217" t="s">
        <v>174</v>
      </c>
      <c r="L217">
        <v>1</v>
      </c>
      <c r="M217" t="s">
        <v>210</v>
      </c>
    </row>
    <row r="218" spans="1:13">
      <c r="A218">
        <v>23</v>
      </c>
      <c r="B218">
        <v>1</v>
      </c>
      <c r="C218" t="s">
        <v>193</v>
      </c>
      <c r="E218" t="s">
        <v>11</v>
      </c>
      <c r="F218" t="s">
        <v>12</v>
      </c>
      <c r="G218">
        <v>1</v>
      </c>
      <c r="H218">
        <v>1.0999999999999999E-2</v>
      </c>
      <c r="I218" t="s">
        <v>27</v>
      </c>
      <c r="J218" t="s">
        <v>121</v>
      </c>
      <c r="K218" t="s">
        <v>174</v>
      </c>
      <c r="L218">
        <v>1</v>
      </c>
      <c r="M218" t="s">
        <v>210</v>
      </c>
    </row>
    <row r="219" spans="1:13">
      <c r="A219">
        <v>23</v>
      </c>
      <c r="B219">
        <v>1</v>
      </c>
      <c r="C219" t="s">
        <v>193</v>
      </c>
      <c r="E219" t="s">
        <v>38</v>
      </c>
      <c r="F219" t="s">
        <v>39</v>
      </c>
      <c r="G219">
        <v>1</v>
      </c>
      <c r="H219">
        <v>2E-3</v>
      </c>
      <c r="I219" t="s">
        <v>27</v>
      </c>
      <c r="J219" t="s">
        <v>121</v>
      </c>
      <c r="K219" t="s">
        <v>174</v>
      </c>
      <c r="L219">
        <v>1</v>
      </c>
      <c r="M219" t="s">
        <v>210</v>
      </c>
    </row>
    <row r="220" spans="1:13">
      <c r="A220">
        <v>23</v>
      </c>
      <c r="B220">
        <v>1</v>
      </c>
      <c r="C220" t="s">
        <v>193</v>
      </c>
      <c r="E220" t="s">
        <v>79</v>
      </c>
      <c r="F220" t="s">
        <v>80</v>
      </c>
      <c r="G220">
        <v>1</v>
      </c>
      <c r="H220">
        <v>1E-3</v>
      </c>
      <c r="I220" t="s">
        <v>27</v>
      </c>
      <c r="J220" t="s">
        <v>121</v>
      </c>
      <c r="K220" t="s">
        <v>174</v>
      </c>
      <c r="L220">
        <v>1</v>
      </c>
      <c r="M220" t="s">
        <v>210</v>
      </c>
    </row>
    <row r="221" spans="1:13">
      <c r="A221">
        <v>23</v>
      </c>
      <c r="B221">
        <v>1</v>
      </c>
      <c r="C221" t="s">
        <v>193</v>
      </c>
      <c r="E221" t="s">
        <v>103</v>
      </c>
      <c r="F221" t="s">
        <v>104</v>
      </c>
      <c r="G221">
        <v>2</v>
      </c>
      <c r="H221">
        <v>3.0000000000000001E-3</v>
      </c>
      <c r="I221" t="s">
        <v>27</v>
      </c>
      <c r="J221" t="s">
        <v>121</v>
      </c>
      <c r="K221" t="s">
        <v>174</v>
      </c>
      <c r="L221">
        <v>1</v>
      </c>
      <c r="M221" t="s">
        <v>210</v>
      </c>
    </row>
    <row r="222" spans="1:13">
      <c r="A222">
        <v>23</v>
      </c>
      <c r="B222">
        <v>1</v>
      </c>
      <c r="C222" t="s">
        <v>193</v>
      </c>
      <c r="E222" t="s">
        <v>22</v>
      </c>
      <c r="F222" t="s">
        <v>23</v>
      </c>
      <c r="G222">
        <v>279</v>
      </c>
      <c r="H222">
        <v>0.51600000000000001</v>
      </c>
      <c r="I222" t="s">
        <v>27</v>
      </c>
      <c r="J222" t="s">
        <v>121</v>
      </c>
      <c r="K222" t="s">
        <v>174</v>
      </c>
      <c r="L222">
        <v>1</v>
      </c>
      <c r="M222" t="s">
        <v>210</v>
      </c>
    </row>
    <row r="223" spans="1:13">
      <c r="A223">
        <v>23</v>
      </c>
      <c r="B223">
        <v>2</v>
      </c>
      <c r="C223" t="s">
        <v>194</v>
      </c>
      <c r="E223" t="s">
        <v>112</v>
      </c>
      <c r="F223" t="s">
        <v>113</v>
      </c>
      <c r="G223">
        <v>2</v>
      </c>
      <c r="H223">
        <v>2E-3</v>
      </c>
      <c r="I223" t="s">
        <v>27</v>
      </c>
      <c r="J223" t="s">
        <v>121</v>
      </c>
      <c r="K223" t="s">
        <v>174</v>
      </c>
      <c r="L223">
        <v>30</v>
      </c>
      <c r="M223" t="s">
        <v>210</v>
      </c>
    </row>
    <row r="224" spans="1:13">
      <c r="A224">
        <v>23</v>
      </c>
      <c r="B224">
        <v>2</v>
      </c>
      <c r="C224" t="s">
        <v>194</v>
      </c>
      <c r="E224" t="s">
        <v>22</v>
      </c>
      <c r="F224" t="s">
        <v>23</v>
      </c>
      <c r="G224">
        <v>235</v>
      </c>
      <c r="H224">
        <v>2.9689999999999999</v>
      </c>
      <c r="I224" t="s">
        <v>27</v>
      </c>
      <c r="J224" t="s">
        <v>121</v>
      </c>
      <c r="K224" t="s">
        <v>174</v>
      </c>
      <c r="L224">
        <v>30</v>
      </c>
      <c r="M224" t="s">
        <v>210</v>
      </c>
    </row>
    <row r="225" spans="1:13">
      <c r="A225">
        <v>23</v>
      </c>
      <c r="B225">
        <v>3</v>
      </c>
      <c r="C225" t="s">
        <v>195</v>
      </c>
      <c r="E225" t="s">
        <v>22</v>
      </c>
      <c r="F225" t="s">
        <v>23</v>
      </c>
      <c r="G225">
        <v>196</v>
      </c>
      <c r="H225">
        <v>0.39</v>
      </c>
      <c r="I225" t="s">
        <v>27</v>
      </c>
      <c r="J225" t="s">
        <v>122</v>
      </c>
      <c r="K225" t="s">
        <v>174</v>
      </c>
      <c r="L225">
        <v>30</v>
      </c>
      <c r="M225" t="s">
        <v>210</v>
      </c>
    </row>
    <row r="226" spans="1:13">
      <c r="A226">
        <v>23</v>
      </c>
      <c r="B226">
        <v>3</v>
      </c>
      <c r="C226" t="s">
        <v>195</v>
      </c>
      <c r="E226" t="s">
        <v>75</v>
      </c>
      <c r="F226" t="s">
        <v>76</v>
      </c>
      <c r="I226" t="s">
        <v>27</v>
      </c>
      <c r="J226" t="s">
        <v>122</v>
      </c>
      <c r="K226" t="s">
        <v>174</v>
      </c>
      <c r="L226">
        <v>30</v>
      </c>
      <c r="M226" t="s">
        <v>210</v>
      </c>
    </row>
    <row r="227" spans="1:13">
      <c r="A227">
        <v>24</v>
      </c>
      <c r="B227">
        <v>2</v>
      </c>
      <c r="C227" t="s">
        <v>196</v>
      </c>
      <c r="E227" t="s">
        <v>123</v>
      </c>
      <c r="F227" t="s">
        <v>124</v>
      </c>
      <c r="G227">
        <v>1</v>
      </c>
      <c r="H227">
        <v>5.0000000000000001E-3</v>
      </c>
      <c r="I227" t="s">
        <v>27</v>
      </c>
      <c r="J227" t="s">
        <v>125</v>
      </c>
      <c r="K227" t="s">
        <v>174</v>
      </c>
      <c r="L227">
        <v>30</v>
      </c>
      <c r="M227" t="s">
        <v>210</v>
      </c>
    </row>
    <row r="228" spans="1:13">
      <c r="A228">
        <v>24</v>
      </c>
      <c r="B228">
        <v>2</v>
      </c>
      <c r="C228" t="s">
        <v>196</v>
      </c>
      <c r="E228" t="s">
        <v>11</v>
      </c>
      <c r="F228" t="s">
        <v>12</v>
      </c>
      <c r="G228">
        <v>1</v>
      </c>
      <c r="H228">
        <v>0.17799999999999999</v>
      </c>
      <c r="I228" t="s">
        <v>27</v>
      </c>
      <c r="J228" t="s">
        <v>125</v>
      </c>
      <c r="K228" t="s">
        <v>174</v>
      </c>
      <c r="L228">
        <v>30</v>
      </c>
      <c r="M228" t="s">
        <v>210</v>
      </c>
    </row>
    <row r="229" spans="1:13">
      <c r="A229">
        <v>24</v>
      </c>
      <c r="B229">
        <v>2</v>
      </c>
      <c r="C229" t="s">
        <v>196</v>
      </c>
      <c r="E229" t="s">
        <v>75</v>
      </c>
      <c r="F229" t="s">
        <v>76</v>
      </c>
      <c r="I229" t="s">
        <v>27</v>
      </c>
      <c r="J229" t="s">
        <v>125</v>
      </c>
      <c r="K229" t="s">
        <v>174</v>
      </c>
      <c r="L229">
        <v>30</v>
      </c>
      <c r="M229" t="s">
        <v>210</v>
      </c>
    </row>
    <row r="230" spans="1:13">
      <c r="A230">
        <v>24</v>
      </c>
      <c r="B230">
        <v>2</v>
      </c>
      <c r="C230" t="s">
        <v>196</v>
      </c>
      <c r="E230" t="s">
        <v>119</v>
      </c>
      <c r="F230" t="s">
        <v>120</v>
      </c>
      <c r="I230" t="s">
        <v>27</v>
      </c>
      <c r="J230" t="s">
        <v>125</v>
      </c>
      <c r="K230" t="s">
        <v>174</v>
      </c>
      <c r="L230">
        <v>30</v>
      </c>
      <c r="M230" t="s">
        <v>210</v>
      </c>
    </row>
    <row r="231" spans="1:13">
      <c r="A231">
        <v>24</v>
      </c>
      <c r="B231">
        <v>2</v>
      </c>
      <c r="C231" t="s">
        <v>196</v>
      </c>
      <c r="E231" t="s">
        <v>108</v>
      </c>
      <c r="F231" t="s">
        <v>109</v>
      </c>
      <c r="I231" t="s">
        <v>27</v>
      </c>
      <c r="J231" t="s">
        <v>125</v>
      </c>
      <c r="K231" t="s">
        <v>174</v>
      </c>
      <c r="L231">
        <v>30</v>
      </c>
      <c r="M231" t="s">
        <v>210</v>
      </c>
    </row>
    <row r="232" spans="1:13">
      <c r="A232">
        <v>24</v>
      </c>
      <c r="B232">
        <v>2</v>
      </c>
      <c r="C232" t="s">
        <v>196</v>
      </c>
      <c r="E232" t="s">
        <v>22</v>
      </c>
      <c r="F232" t="s">
        <v>23</v>
      </c>
      <c r="G232">
        <v>154</v>
      </c>
      <c r="H232">
        <v>3.0129999999999999</v>
      </c>
      <c r="I232" t="s">
        <v>27</v>
      </c>
      <c r="J232" t="s">
        <v>125</v>
      </c>
      <c r="K232" t="s">
        <v>174</v>
      </c>
      <c r="L232">
        <v>30</v>
      </c>
      <c r="M232" t="s">
        <v>210</v>
      </c>
    </row>
    <row r="233" spans="1:13">
      <c r="A233">
        <v>24</v>
      </c>
      <c r="B233">
        <v>1</v>
      </c>
      <c r="C233" t="s">
        <v>197</v>
      </c>
      <c r="E233" t="s">
        <v>69</v>
      </c>
      <c r="F233" t="s">
        <v>70</v>
      </c>
      <c r="I233" t="s">
        <v>27</v>
      </c>
      <c r="J233" t="s">
        <v>125</v>
      </c>
      <c r="K233" t="s">
        <v>174</v>
      </c>
      <c r="L233">
        <v>1</v>
      </c>
      <c r="M233" t="s">
        <v>210</v>
      </c>
    </row>
    <row r="234" spans="1:13">
      <c r="A234">
        <v>24</v>
      </c>
      <c r="B234">
        <v>1</v>
      </c>
      <c r="C234" t="s">
        <v>197</v>
      </c>
      <c r="E234" t="s">
        <v>126</v>
      </c>
      <c r="F234" t="s">
        <v>26</v>
      </c>
      <c r="I234" t="s">
        <v>27</v>
      </c>
      <c r="J234" t="s">
        <v>125</v>
      </c>
      <c r="K234" t="s">
        <v>174</v>
      </c>
      <c r="L234">
        <v>1</v>
      </c>
      <c r="M234" t="s">
        <v>210</v>
      </c>
    </row>
    <row r="235" spans="1:13">
      <c r="A235">
        <v>24</v>
      </c>
      <c r="B235">
        <v>1</v>
      </c>
      <c r="C235" t="s">
        <v>197</v>
      </c>
      <c r="E235" t="s">
        <v>88</v>
      </c>
      <c r="F235" t="s">
        <v>89</v>
      </c>
      <c r="I235" t="s">
        <v>27</v>
      </c>
      <c r="J235" t="s">
        <v>125</v>
      </c>
      <c r="K235" t="s">
        <v>174</v>
      </c>
      <c r="L235">
        <v>1</v>
      </c>
      <c r="M235" t="s">
        <v>210</v>
      </c>
    </row>
    <row r="236" spans="1:13">
      <c r="A236">
        <v>24</v>
      </c>
      <c r="B236">
        <v>1</v>
      </c>
      <c r="C236" t="s">
        <v>197</v>
      </c>
      <c r="E236" t="s">
        <v>108</v>
      </c>
      <c r="F236" t="s">
        <v>109</v>
      </c>
      <c r="I236" t="s">
        <v>27</v>
      </c>
      <c r="J236" t="s">
        <v>125</v>
      </c>
      <c r="K236" t="s">
        <v>174</v>
      </c>
      <c r="L236">
        <v>1</v>
      </c>
      <c r="M236" t="s">
        <v>210</v>
      </c>
    </row>
    <row r="237" spans="1:13">
      <c r="A237">
        <v>24</v>
      </c>
      <c r="B237">
        <v>1</v>
      </c>
      <c r="C237" t="s">
        <v>197</v>
      </c>
      <c r="E237" t="s">
        <v>71</v>
      </c>
      <c r="F237" t="s">
        <v>72</v>
      </c>
      <c r="I237" t="s">
        <v>27</v>
      </c>
      <c r="J237" t="s">
        <v>125</v>
      </c>
      <c r="K237" t="s">
        <v>174</v>
      </c>
      <c r="L237">
        <v>1</v>
      </c>
      <c r="M237" t="s">
        <v>210</v>
      </c>
    </row>
    <row r="238" spans="1:13">
      <c r="A238">
        <v>24</v>
      </c>
      <c r="B238">
        <v>1</v>
      </c>
      <c r="C238" t="s">
        <v>197</v>
      </c>
      <c r="E238" t="s">
        <v>75</v>
      </c>
      <c r="F238" t="s">
        <v>76</v>
      </c>
      <c r="I238" t="s">
        <v>27</v>
      </c>
      <c r="J238" t="s">
        <v>125</v>
      </c>
      <c r="K238" t="s">
        <v>174</v>
      </c>
      <c r="L238">
        <v>1</v>
      </c>
      <c r="M238" t="s">
        <v>210</v>
      </c>
    </row>
    <row r="239" spans="1:13">
      <c r="A239">
        <v>24</v>
      </c>
      <c r="B239">
        <v>1</v>
      </c>
      <c r="C239" t="s">
        <v>197</v>
      </c>
      <c r="E239" t="s">
        <v>11</v>
      </c>
      <c r="F239" t="s">
        <v>12</v>
      </c>
      <c r="G239">
        <v>6</v>
      </c>
      <c r="H239">
        <v>1.121</v>
      </c>
      <c r="I239" t="s">
        <v>27</v>
      </c>
      <c r="J239" t="s">
        <v>125</v>
      </c>
      <c r="K239" t="s">
        <v>174</v>
      </c>
      <c r="L239">
        <v>1</v>
      </c>
      <c r="M239" t="s">
        <v>210</v>
      </c>
    </row>
    <row r="240" spans="1:13">
      <c r="A240">
        <v>24</v>
      </c>
      <c r="B240">
        <v>1</v>
      </c>
      <c r="C240" t="s">
        <v>197</v>
      </c>
      <c r="E240" t="s">
        <v>92</v>
      </c>
      <c r="F240" t="s">
        <v>93</v>
      </c>
      <c r="G240">
        <v>2</v>
      </c>
      <c r="H240">
        <v>4.0000000000000001E-3</v>
      </c>
      <c r="I240" t="s">
        <v>27</v>
      </c>
      <c r="J240" t="s">
        <v>125</v>
      </c>
      <c r="K240" t="s">
        <v>174</v>
      </c>
      <c r="L240">
        <v>1</v>
      </c>
      <c r="M240" t="s">
        <v>210</v>
      </c>
    </row>
    <row r="241" spans="1:13">
      <c r="A241">
        <v>24</v>
      </c>
      <c r="B241">
        <v>1</v>
      </c>
      <c r="C241" t="s">
        <v>197</v>
      </c>
      <c r="E241" t="s">
        <v>112</v>
      </c>
      <c r="F241" t="s">
        <v>113</v>
      </c>
      <c r="G241">
        <v>1</v>
      </c>
      <c r="H241">
        <v>1E-3</v>
      </c>
      <c r="I241" t="s">
        <v>27</v>
      </c>
      <c r="J241" t="s">
        <v>125</v>
      </c>
      <c r="K241" t="s">
        <v>174</v>
      </c>
      <c r="L241">
        <v>1</v>
      </c>
      <c r="M241" t="s">
        <v>210</v>
      </c>
    </row>
    <row r="242" spans="1:13">
      <c r="A242">
        <v>24</v>
      </c>
      <c r="B242">
        <v>1</v>
      </c>
      <c r="C242" t="s">
        <v>197</v>
      </c>
      <c r="E242" t="s">
        <v>123</v>
      </c>
      <c r="F242" t="s">
        <v>124</v>
      </c>
      <c r="G242">
        <v>1</v>
      </c>
      <c r="H242">
        <v>8.9999999999999993E-3</v>
      </c>
      <c r="I242" t="s">
        <v>27</v>
      </c>
      <c r="J242" t="s">
        <v>125</v>
      </c>
      <c r="K242" t="s">
        <v>174</v>
      </c>
      <c r="L242">
        <v>1</v>
      </c>
      <c r="M242" t="s">
        <v>210</v>
      </c>
    </row>
    <row r="243" spans="1:13">
      <c r="A243">
        <v>24</v>
      </c>
      <c r="B243">
        <v>1</v>
      </c>
      <c r="C243" t="s">
        <v>197</v>
      </c>
      <c r="E243" t="s">
        <v>22</v>
      </c>
      <c r="F243" t="s">
        <v>23</v>
      </c>
      <c r="G243">
        <v>579</v>
      </c>
      <c r="H243">
        <v>1.607</v>
      </c>
      <c r="I243" t="s">
        <v>27</v>
      </c>
      <c r="J243" t="s">
        <v>125</v>
      </c>
      <c r="K243" t="s">
        <v>174</v>
      </c>
      <c r="L243">
        <v>1</v>
      </c>
      <c r="M243" t="s">
        <v>210</v>
      </c>
    </row>
    <row r="244" spans="1:13">
      <c r="A244">
        <v>24</v>
      </c>
      <c r="B244">
        <v>3</v>
      </c>
      <c r="C244" t="s">
        <v>198</v>
      </c>
      <c r="E244" t="s">
        <v>11</v>
      </c>
      <c r="F244" t="s">
        <v>12</v>
      </c>
      <c r="G244">
        <v>4</v>
      </c>
      <c r="H244">
        <v>5.8000000000000003E-2</v>
      </c>
      <c r="I244" t="s">
        <v>27</v>
      </c>
      <c r="J244" t="s">
        <v>127</v>
      </c>
      <c r="K244" t="s">
        <v>174</v>
      </c>
      <c r="L244">
        <v>30</v>
      </c>
      <c r="M244" t="s">
        <v>210</v>
      </c>
    </row>
    <row r="245" spans="1:13">
      <c r="A245">
        <v>24</v>
      </c>
      <c r="B245">
        <v>3</v>
      </c>
      <c r="C245" t="s">
        <v>198</v>
      </c>
      <c r="E245" t="s">
        <v>92</v>
      </c>
      <c r="F245" t="s">
        <v>93</v>
      </c>
      <c r="G245">
        <v>1</v>
      </c>
      <c r="H245">
        <v>2E-3</v>
      </c>
      <c r="I245" t="s">
        <v>27</v>
      </c>
      <c r="J245" t="s">
        <v>127</v>
      </c>
      <c r="K245" t="s">
        <v>174</v>
      </c>
      <c r="L245">
        <v>30</v>
      </c>
      <c r="M245" t="s">
        <v>210</v>
      </c>
    </row>
    <row r="246" spans="1:13">
      <c r="A246">
        <v>24</v>
      </c>
      <c r="B246">
        <v>3</v>
      </c>
      <c r="C246" t="s">
        <v>198</v>
      </c>
      <c r="E246" t="s">
        <v>81</v>
      </c>
      <c r="F246" t="s">
        <v>82</v>
      </c>
      <c r="G246">
        <v>2</v>
      </c>
      <c r="H246">
        <v>2E-3</v>
      </c>
      <c r="I246" t="s">
        <v>27</v>
      </c>
      <c r="J246" t="s">
        <v>127</v>
      </c>
      <c r="K246" t="s">
        <v>174</v>
      </c>
      <c r="L246">
        <v>30</v>
      </c>
      <c r="M246" t="s">
        <v>210</v>
      </c>
    </row>
    <row r="247" spans="1:13">
      <c r="A247">
        <v>24</v>
      </c>
      <c r="B247">
        <v>3</v>
      </c>
      <c r="C247" t="s">
        <v>198</v>
      </c>
      <c r="E247" t="s">
        <v>79</v>
      </c>
      <c r="F247" t="s">
        <v>80</v>
      </c>
      <c r="G247">
        <v>1</v>
      </c>
      <c r="H247">
        <v>3.0000000000000001E-3</v>
      </c>
      <c r="I247" t="s">
        <v>27</v>
      </c>
      <c r="J247" t="s">
        <v>127</v>
      </c>
      <c r="K247" t="s">
        <v>174</v>
      </c>
      <c r="L247">
        <v>30</v>
      </c>
      <c r="M247" t="s">
        <v>210</v>
      </c>
    </row>
    <row r="248" spans="1:13">
      <c r="A248">
        <v>24</v>
      </c>
      <c r="B248">
        <v>3</v>
      </c>
      <c r="C248" t="s">
        <v>198</v>
      </c>
      <c r="E248" t="s">
        <v>49</v>
      </c>
      <c r="F248" t="s">
        <v>50</v>
      </c>
      <c r="G248">
        <v>2</v>
      </c>
      <c r="H248">
        <v>2.1999999999999999E-2</v>
      </c>
      <c r="I248" t="s">
        <v>27</v>
      </c>
      <c r="J248" t="s">
        <v>127</v>
      </c>
      <c r="K248" t="s">
        <v>174</v>
      </c>
      <c r="L248">
        <v>30</v>
      </c>
      <c r="M248" t="s">
        <v>210</v>
      </c>
    </row>
    <row r="249" spans="1:13">
      <c r="A249">
        <v>24</v>
      </c>
      <c r="B249">
        <v>3</v>
      </c>
      <c r="C249" t="s">
        <v>198</v>
      </c>
      <c r="E249" t="s">
        <v>108</v>
      </c>
      <c r="F249" t="s">
        <v>109</v>
      </c>
      <c r="I249" t="s">
        <v>27</v>
      </c>
      <c r="J249" t="s">
        <v>127</v>
      </c>
      <c r="K249" t="s">
        <v>174</v>
      </c>
      <c r="L249">
        <v>30</v>
      </c>
      <c r="M249" t="s">
        <v>210</v>
      </c>
    </row>
    <row r="250" spans="1:13">
      <c r="A250">
        <v>24</v>
      </c>
      <c r="B250">
        <v>3</v>
      </c>
      <c r="C250" t="s">
        <v>198</v>
      </c>
      <c r="E250" t="s">
        <v>22</v>
      </c>
      <c r="F250" t="s">
        <v>23</v>
      </c>
      <c r="G250">
        <v>382</v>
      </c>
      <c r="H250">
        <v>3.5579999999999998</v>
      </c>
      <c r="I250" t="s">
        <v>27</v>
      </c>
      <c r="J250" t="s">
        <v>127</v>
      </c>
      <c r="K250" t="s">
        <v>174</v>
      </c>
      <c r="L250">
        <v>30</v>
      </c>
      <c r="M250" t="s">
        <v>210</v>
      </c>
    </row>
    <row r="251" spans="1:13">
      <c r="A251">
        <v>24</v>
      </c>
      <c r="B251">
        <v>3</v>
      </c>
      <c r="C251" t="s">
        <v>198</v>
      </c>
      <c r="E251" t="s">
        <v>75</v>
      </c>
      <c r="F251" t="s">
        <v>76</v>
      </c>
      <c r="I251" t="s">
        <v>27</v>
      </c>
      <c r="J251" t="s">
        <v>127</v>
      </c>
      <c r="K251" t="s">
        <v>174</v>
      </c>
      <c r="L251">
        <v>30</v>
      </c>
      <c r="M251" t="s">
        <v>210</v>
      </c>
    </row>
    <row r="252" spans="1:13">
      <c r="A252">
        <v>24</v>
      </c>
      <c r="B252">
        <v>3</v>
      </c>
      <c r="C252" t="s">
        <v>198</v>
      </c>
      <c r="E252" t="s">
        <v>126</v>
      </c>
      <c r="F252" t="s">
        <v>26</v>
      </c>
      <c r="I252" t="s">
        <v>27</v>
      </c>
      <c r="J252" t="s">
        <v>127</v>
      </c>
      <c r="K252" t="s">
        <v>174</v>
      </c>
      <c r="L252">
        <v>30</v>
      </c>
      <c r="M252" t="s">
        <v>210</v>
      </c>
    </row>
    <row r="253" spans="1:13">
      <c r="A253">
        <v>24</v>
      </c>
      <c r="B253">
        <v>3</v>
      </c>
      <c r="C253" t="s">
        <v>198</v>
      </c>
      <c r="E253" t="s">
        <v>119</v>
      </c>
      <c r="F253" t="s">
        <v>120</v>
      </c>
      <c r="I253" t="s">
        <v>27</v>
      </c>
      <c r="J253" t="s">
        <v>127</v>
      </c>
      <c r="K253" t="s">
        <v>174</v>
      </c>
      <c r="L253">
        <v>30</v>
      </c>
      <c r="M253" t="s">
        <v>210</v>
      </c>
    </row>
    <row r="254" spans="1:13">
      <c r="A254">
        <v>25</v>
      </c>
      <c r="B254">
        <v>1</v>
      </c>
      <c r="C254" t="s">
        <v>199</v>
      </c>
      <c r="E254" t="s">
        <v>81</v>
      </c>
      <c r="F254" t="s">
        <v>82</v>
      </c>
      <c r="G254">
        <v>15</v>
      </c>
      <c r="H254">
        <v>10.254</v>
      </c>
      <c r="I254" t="s">
        <v>27</v>
      </c>
      <c r="J254" t="s">
        <v>121</v>
      </c>
      <c r="K254" t="s">
        <v>174</v>
      </c>
      <c r="L254">
        <v>1</v>
      </c>
      <c r="M254" t="s">
        <v>210</v>
      </c>
    </row>
    <row r="255" spans="1:13">
      <c r="A255">
        <v>25</v>
      </c>
      <c r="B255">
        <v>1</v>
      </c>
      <c r="C255" t="s">
        <v>199</v>
      </c>
      <c r="E255" t="s">
        <v>11</v>
      </c>
      <c r="F255" t="s">
        <v>12</v>
      </c>
      <c r="G255">
        <v>1</v>
      </c>
      <c r="H255">
        <v>0.40899999999999997</v>
      </c>
      <c r="I255" t="s">
        <v>27</v>
      </c>
      <c r="J255" t="s">
        <v>121</v>
      </c>
      <c r="K255" t="s">
        <v>174</v>
      </c>
      <c r="L255">
        <v>1</v>
      </c>
      <c r="M255" t="s">
        <v>210</v>
      </c>
    </row>
    <row r="256" spans="1:13">
      <c r="A256">
        <v>25</v>
      </c>
      <c r="B256">
        <v>1</v>
      </c>
      <c r="C256" t="s">
        <v>199</v>
      </c>
      <c r="E256" t="s">
        <v>51</v>
      </c>
      <c r="F256" t="s">
        <v>52</v>
      </c>
      <c r="G256">
        <v>1</v>
      </c>
      <c r="H256">
        <v>8.0000000000000002E-3</v>
      </c>
      <c r="I256" t="s">
        <v>27</v>
      </c>
      <c r="J256" t="s">
        <v>121</v>
      </c>
      <c r="K256" t="s">
        <v>174</v>
      </c>
      <c r="L256">
        <v>1</v>
      </c>
      <c r="M256" t="s">
        <v>210</v>
      </c>
    </row>
    <row r="257" spans="1:13">
      <c r="A257">
        <v>25</v>
      </c>
      <c r="B257">
        <v>1</v>
      </c>
      <c r="C257" t="s">
        <v>199</v>
      </c>
      <c r="E257" t="s">
        <v>40</v>
      </c>
      <c r="F257" t="s">
        <v>41</v>
      </c>
      <c r="G257">
        <v>1</v>
      </c>
      <c r="H257">
        <v>2E-3</v>
      </c>
      <c r="I257" t="s">
        <v>27</v>
      </c>
      <c r="J257" t="s">
        <v>121</v>
      </c>
      <c r="K257" t="s">
        <v>174</v>
      </c>
      <c r="L257">
        <v>1</v>
      </c>
      <c r="M257" t="s">
        <v>210</v>
      </c>
    </row>
    <row r="258" spans="1:13">
      <c r="A258">
        <v>25</v>
      </c>
      <c r="B258">
        <v>1</v>
      </c>
      <c r="C258" t="s">
        <v>199</v>
      </c>
      <c r="E258" t="s">
        <v>22</v>
      </c>
      <c r="F258" t="s">
        <v>23</v>
      </c>
      <c r="G258">
        <v>224</v>
      </c>
      <c r="H258">
        <v>0.69499999999999995</v>
      </c>
      <c r="I258" t="s">
        <v>27</v>
      </c>
      <c r="J258" t="s">
        <v>121</v>
      </c>
      <c r="K258" t="s">
        <v>174</v>
      </c>
      <c r="L258">
        <v>1</v>
      </c>
      <c r="M258" t="s">
        <v>210</v>
      </c>
    </row>
    <row r="259" spans="1:13">
      <c r="A259">
        <v>25</v>
      </c>
      <c r="B259">
        <v>2</v>
      </c>
      <c r="C259" t="s">
        <v>200</v>
      </c>
      <c r="E259" t="s">
        <v>81</v>
      </c>
      <c r="F259" t="s">
        <v>82</v>
      </c>
      <c r="G259">
        <v>16</v>
      </c>
      <c r="H259">
        <v>7.4269999999999996</v>
      </c>
      <c r="I259" t="s">
        <v>27</v>
      </c>
      <c r="J259" t="s">
        <v>121</v>
      </c>
      <c r="K259" t="s">
        <v>174</v>
      </c>
      <c r="L259">
        <v>30</v>
      </c>
      <c r="M259" t="s">
        <v>210</v>
      </c>
    </row>
    <row r="260" spans="1:13">
      <c r="A260">
        <v>25</v>
      </c>
      <c r="B260">
        <v>2</v>
      </c>
      <c r="C260" t="s">
        <v>200</v>
      </c>
      <c r="E260" t="s">
        <v>22</v>
      </c>
      <c r="F260" t="s">
        <v>23</v>
      </c>
      <c r="G260">
        <v>435</v>
      </c>
      <c r="H260">
        <v>0.876</v>
      </c>
      <c r="I260" t="s">
        <v>27</v>
      </c>
      <c r="J260" t="s">
        <v>121</v>
      </c>
      <c r="K260" t="s">
        <v>174</v>
      </c>
      <c r="L260">
        <v>30</v>
      </c>
      <c r="M260" t="s">
        <v>210</v>
      </c>
    </row>
    <row r="261" spans="1:13">
      <c r="A261">
        <v>25</v>
      </c>
      <c r="B261">
        <v>2</v>
      </c>
      <c r="C261" t="s">
        <v>200</v>
      </c>
      <c r="E261" t="s">
        <v>123</v>
      </c>
      <c r="F261" t="s">
        <v>124</v>
      </c>
      <c r="G261">
        <v>1</v>
      </c>
      <c r="H261">
        <v>7.0000000000000001E-3</v>
      </c>
      <c r="I261" t="s">
        <v>27</v>
      </c>
      <c r="J261" t="s">
        <v>121</v>
      </c>
      <c r="K261" t="s">
        <v>174</v>
      </c>
      <c r="L261">
        <v>30</v>
      </c>
      <c r="M261" t="s">
        <v>210</v>
      </c>
    </row>
    <row r="262" spans="1:13">
      <c r="A262">
        <v>25</v>
      </c>
      <c r="B262">
        <v>2</v>
      </c>
      <c r="C262" t="s">
        <v>200</v>
      </c>
      <c r="E262" t="s">
        <v>98</v>
      </c>
      <c r="F262" t="s">
        <v>99</v>
      </c>
      <c r="G262">
        <v>1</v>
      </c>
      <c r="H262">
        <v>2.1000000000000001E-2</v>
      </c>
      <c r="I262" t="s">
        <v>27</v>
      </c>
      <c r="J262" t="s">
        <v>121</v>
      </c>
      <c r="K262" t="s">
        <v>174</v>
      </c>
      <c r="L262">
        <v>30</v>
      </c>
      <c r="M262" t="s">
        <v>210</v>
      </c>
    </row>
    <row r="263" spans="1:13">
      <c r="A263">
        <v>25</v>
      </c>
      <c r="B263">
        <v>3</v>
      </c>
      <c r="C263" t="s">
        <v>201</v>
      </c>
      <c r="E263" t="s">
        <v>11</v>
      </c>
      <c r="F263" t="s">
        <v>12</v>
      </c>
      <c r="G263">
        <v>2</v>
      </c>
      <c r="H263">
        <v>0.66800000000000004</v>
      </c>
      <c r="I263" t="s">
        <v>27</v>
      </c>
      <c r="J263" t="s">
        <v>128</v>
      </c>
      <c r="K263" t="s">
        <v>174</v>
      </c>
      <c r="L263">
        <v>30</v>
      </c>
      <c r="M263" t="s">
        <v>210</v>
      </c>
    </row>
    <row r="264" spans="1:13">
      <c r="A264">
        <v>25</v>
      </c>
      <c r="B264">
        <v>3</v>
      </c>
      <c r="C264" t="s">
        <v>201</v>
      </c>
      <c r="E264" t="s">
        <v>123</v>
      </c>
      <c r="F264" t="s">
        <v>124</v>
      </c>
      <c r="G264">
        <v>1</v>
      </c>
      <c r="H264">
        <v>1E-3</v>
      </c>
      <c r="I264" t="s">
        <v>27</v>
      </c>
      <c r="J264" t="s">
        <v>128</v>
      </c>
      <c r="K264" t="s">
        <v>174</v>
      </c>
      <c r="L264">
        <v>30</v>
      </c>
      <c r="M264" t="s">
        <v>210</v>
      </c>
    </row>
    <row r="265" spans="1:13">
      <c r="A265">
        <v>25</v>
      </c>
      <c r="B265">
        <v>3</v>
      </c>
      <c r="C265" t="s">
        <v>201</v>
      </c>
      <c r="E265" t="s">
        <v>98</v>
      </c>
      <c r="F265" t="s">
        <v>99</v>
      </c>
      <c r="G265">
        <v>1</v>
      </c>
      <c r="H265">
        <v>1E-3</v>
      </c>
      <c r="I265" t="s">
        <v>27</v>
      </c>
      <c r="J265" t="s">
        <v>128</v>
      </c>
      <c r="K265" t="s">
        <v>174</v>
      </c>
      <c r="L265">
        <v>30</v>
      </c>
      <c r="M265" t="s">
        <v>210</v>
      </c>
    </row>
    <row r="266" spans="1:13">
      <c r="A266">
        <v>25</v>
      </c>
      <c r="B266">
        <v>3</v>
      </c>
      <c r="C266" t="s">
        <v>201</v>
      </c>
      <c r="E266" t="s">
        <v>69</v>
      </c>
      <c r="F266" t="s">
        <v>70</v>
      </c>
      <c r="I266" t="s">
        <v>27</v>
      </c>
      <c r="J266" t="s">
        <v>128</v>
      </c>
      <c r="K266" t="s">
        <v>174</v>
      </c>
      <c r="L266">
        <v>30</v>
      </c>
      <c r="M266" t="s">
        <v>210</v>
      </c>
    </row>
    <row r="267" spans="1:13">
      <c r="A267">
        <v>25</v>
      </c>
      <c r="B267">
        <v>3</v>
      </c>
      <c r="C267" t="s">
        <v>201</v>
      </c>
      <c r="E267" t="s">
        <v>75</v>
      </c>
      <c r="F267" t="s">
        <v>76</v>
      </c>
      <c r="I267" t="s">
        <v>27</v>
      </c>
      <c r="J267" t="s">
        <v>128</v>
      </c>
      <c r="K267" t="s">
        <v>174</v>
      </c>
      <c r="L267">
        <v>30</v>
      </c>
      <c r="M267" t="s">
        <v>210</v>
      </c>
    </row>
    <row r="268" spans="1:13">
      <c r="A268">
        <v>25</v>
      </c>
      <c r="B268">
        <v>3</v>
      </c>
      <c r="C268" t="s">
        <v>201</v>
      </c>
      <c r="E268" t="s">
        <v>129</v>
      </c>
      <c r="F268" t="s">
        <v>130</v>
      </c>
      <c r="I268" t="s">
        <v>27</v>
      </c>
      <c r="J268" t="s">
        <v>128</v>
      </c>
      <c r="K268" t="s">
        <v>174</v>
      </c>
      <c r="L268">
        <v>30</v>
      </c>
      <c r="M268" t="s">
        <v>210</v>
      </c>
    </row>
    <row r="269" spans="1:13">
      <c r="A269">
        <v>25</v>
      </c>
      <c r="B269">
        <v>3</v>
      </c>
      <c r="C269" t="s">
        <v>201</v>
      </c>
      <c r="E269" t="s">
        <v>131</v>
      </c>
      <c r="F269" t="s">
        <v>132</v>
      </c>
      <c r="I269" t="s">
        <v>27</v>
      </c>
      <c r="J269" t="s">
        <v>128</v>
      </c>
      <c r="K269" t="s">
        <v>174</v>
      </c>
      <c r="L269">
        <v>30</v>
      </c>
      <c r="M269" t="s">
        <v>210</v>
      </c>
    </row>
    <row r="270" spans="1:13">
      <c r="A270">
        <v>25</v>
      </c>
      <c r="B270">
        <v>3</v>
      </c>
      <c r="C270" t="s">
        <v>201</v>
      </c>
      <c r="E270" t="s">
        <v>22</v>
      </c>
      <c r="F270" t="s">
        <v>23</v>
      </c>
      <c r="G270">
        <v>525</v>
      </c>
      <c r="H270">
        <v>0.91200000000000003</v>
      </c>
      <c r="I270" t="s">
        <v>27</v>
      </c>
      <c r="J270" t="s">
        <v>128</v>
      </c>
      <c r="K270" t="s">
        <v>174</v>
      </c>
      <c r="L270">
        <v>30</v>
      </c>
      <c r="M270" t="s">
        <v>210</v>
      </c>
    </row>
    <row r="271" spans="1:13">
      <c r="A271">
        <v>25</v>
      </c>
      <c r="B271">
        <v>3</v>
      </c>
      <c r="C271" t="s">
        <v>201</v>
      </c>
      <c r="E271" t="s">
        <v>81</v>
      </c>
      <c r="F271" t="s">
        <v>82</v>
      </c>
      <c r="G271">
        <v>16</v>
      </c>
      <c r="H271">
        <v>7.3890000000000002</v>
      </c>
      <c r="I271" t="s">
        <v>27</v>
      </c>
      <c r="J271" t="s">
        <v>128</v>
      </c>
      <c r="K271" t="s">
        <v>174</v>
      </c>
      <c r="L271">
        <v>30</v>
      </c>
      <c r="M271" t="s">
        <v>210</v>
      </c>
    </row>
    <row r="272" spans="1:13">
      <c r="A272">
        <v>25</v>
      </c>
      <c r="B272">
        <v>3</v>
      </c>
      <c r="C272" t="s">
        <v>201</v>
      </c>
      <c r="E272" t="s">
        <v>103</v>
      </c>
      <c r="F272" t="s">
        <v>104</v>
      </c>
      <c r="G272">
        <v>2</v>
      </c>
      <c r="H272">
        <v>8.9999999999999993E-3</v>
      </c>
      <c r="I272" t="s">
        <v>27</v>
      </c>
      <c r="J272" t="s">
        <v>128</v>
      </c>
      <c r="K272" t="s">
        <v>174</v>
      </c>
      <c r="L272">
        <v>30</v>
      </c>
      <c r="M272" t="s">
        <v>210</v>
      </c>
    </row>
    <row r="273" spans="1:13">
      <c r="A273">
        <v>31</v>
      </c>
      <c r="B273">
        <v>3</v>
      </c>
      <c r="C273" t="s">
        <v>202</v>
      </c>
      <c r="E273" t="s">
        <v>81</v>
      </c>
      <c r="F273" t="s">
        <v>82</v>
      </c>
      <c r="G273">
        <v>27</v>
      </c>
      <c r="H273">
        <v>0.17799999999999999</v>
      </c>
      <c r="I273" t="s">
        <v>27</v>
      </c>
      <c r="J273" t="s">
        <v>133</v>
      </c>
      <c r="K273" t="s">
        <v>174</v>
      </c>
      <c r="L273">
        <v>1</v>
      </c>
      <c r="M273" t="s">
        <v>210</v>
      </c>
    </row>
    <row r="274" spans="1:13">
      <c r="A274">
        <v>31</v>
      </c>
      <c r="B274">
        <v>3</v>
      </c>
      <c r="C274" t="s">
        <v>202</v>
      </c>
      <c r="E274" t="s">
        <v>92</v>
      </c>
      <c r="F274" t="s">
        <v>93</v>
      </c>
      <c r="G274">
        <v>4</v>
      </c>
      <c r="H274">
        <v>7.0000000000000001E-3</v>
      </c>
      <c r="I274" t="s">
        <v>27</v>
      </c>
      <c r="J274" t="s">
        <v>133</v>
      </c>
      <c r="K274" t="s">
        <v>174</v>
      </c>
      <c r="L274">
        <v>1</v>
      </c>
      <c r="M274" t="s">
        <v>210</v>
      </c>
    </row>
    <row r="275" spans="1:13">
      <c r="A275">
        <v>31</v>
      </c>
      <c r="B275">
        <v>3</v>
      </c>
      <c r="C275" t="s">
        <v>202</v>
      </c>
      <c r="E275" t="s">
        <v>94</v>
      </c>
      <c r="F275" t="s">
        <v>95</v>
      </c>
      <c r="G275">
        <v>2</v>
      </c>
      <c r="H275">
        <v>3.0000000000000001E-3</v>
      </c>
      <c r="I275" t="s">
        <v>27</v>
      </c>
      <c r="J275" t="s">
        <v>133</v>
      </c>
      <c r="K275" t="s">
        <v>174</v>
      </c>
      <c r="L275">
        <v>1</v>
      </c>
      <c r="M275" t="s">
        <v>210</v>
      </c>
    </row>
    <row r="276" spans="1:13">
      <c r="A276">
        <v>31</v>
      </c>
      <c r="B276">
        <v>3</v>
      </c>
      <c r="C276" t="s">
        <v>202</v>
      </c>
      <c r="E276" t="s">
        <v>19</v>
      </c>
      <c r="F276" t="s">
        <v>20</v>
      </c>
      <c r="G276">
        <v>2</v>
      </c>
      <c r="H276">
        <v>2E-3</v>
      </c>
      <c r="I276" t="s">
        <v>27</v>
      </c>
      <c r="J276" t="s">
        <v>133</v>
      </c>
      <c r="K276" t="s">
        <v>174</v>
      </c>
      <c r="L276">
        <v>1</v>
      </c>
      <c r="M276" t="s">
        <v>210</v>
      </c>
    </row>
    <row r="277" spans="1:13">
      <c r="A277">
        <v>31</v>
      </c>
      <c r="B277">
        <v>3</v>
      </c>
      <c r="C277" t="s">
        <v>202</v>
      </c>
      <c r="E277" t="s">
        <v>22</v>
      </c>
      <c r="F277" t="s">
        <v>23</v>
      </c>
      <c r="G277">
        <v>4</v>
      </c>
      <c r="H277">
        <v>5.0000000000000001E-3</v>
      </c>
      <c r="I277" t="s">
        <v>27</v>
      </c>
      <c r="J277" t="s">
        <v>133</v>
      </c>
      <c r="K277" t="s">
        <v>174</v>
      </c>
      <c r="L277">
        <v>1</v>
      </c>
      <c r="M277" t="s">
        <v>210</v>
      </c>
    </row>
    <row r="278" spans="1:13">
      <c r="A278">
        <v>31</v>
      </c>
      <c r="B278">
        <v>3</v>
      </c>
      <c r="C278" t="s">
        <v>202</v>
      </c>
      <c r="E278" t="s">
        <v>75</v>
      </c>
      <c r="F278" t="s">
        <v>76</v>
      </c>
      <c r="H278">
        <v>5.0999999999999997E-2</v>
      </c>
      <c r="I278" t="s">
        <v>27</v>
      </c>
      <c r="J278" t="s">
        <v>133</v>
      </c>
      <c r="K278" t="s">
        <v>174</v>
      </c>
      <c r="L278">
        <v>1</v>
      </c>
      <c r="M278" t="s">
        <v>210</v>
      </c>
    </row>
    <row r="279" spans="1:13">
      <c r="A279">
        <v>31</v>
      </c>
      <c r="B279">
        <v>3</v>
      </c>
      <c r="C279" t="s">
        <v>202</v>
      </c>
      <c r="E279" t="s">
        <v>79</v>
      </c>
      <c r="F279" t="s">
        <v>80</v>
      </c>
      <c r="G279">
        <v>1</v>
      </c>
      <c r="H279">
        <v>1E-3</v>
      </c>
      <c r="I279" t="s">
        <v>27</v>
      </c>
      <c r="J279" t="s">
        <v>133</v>
      </c>
      <c r="K279" t="s">
        <v>174</v>
      </c>
      <c r="L279">
        <v>1</v>
      </c>
      <c r="M279" t="s">
        <v>210</v>
      </c>
    </row>
    <row r="280" spans="1:13">
      <c r="A280">
        <v>31</v>
      </c>
      <c r="B280">
        <v>3</v>
      </c>
      <c r="C280" t="s">
        <v>202</v>
      </c>
      <c r="E280" t="s">
        <v>134</v>
      </c>
      <c r="F280" t="s">
        <v>26</v>
      </c>
      <c r="I280" t="s">
        <v>27</v>
      </c>
      <c r="J280" t="s">
        <v>133</v>
      </c>
      <c r="K280" t="s">
        <v>174</v>
      </c>
      <c r="L280">
        <v>1</v>
      </c>
      <c r="M280" t="s">
        <v>210</v>
      </c>
    </row>
    <row r="281" spans="1:13">
      <c r="A281">
        <v>31</v>
      </c>
      <c r="B281">
        <v>3</v>
      </c>
      <c r="C281" t="s">
        <v>202</v>
      </c>
      <c r="E281" t="s">
        <v>69</v>
      </c>
      <c r="F281" t="s">
        <v>70</v>
      </c>
      <c r="H281">
        <v>24.9</v>
      </c>
      <c r="I281" t="s">
        <v>27</v>
      </c>
      <c r="J281" t="s">
        <v>133</v>
      </c>
      <c r="K281" t="s">
        <v>174</v>
      </c>
      <c r="L281">
        <v>1</v>
      </c>
      <c r="M281" t="s">
        <v>210</v>
      </c>
    </row>
    <row r="282" spans="1:13">
      <c r="A282">
        <v>31</v>
      </c>
      <c r="B282">
        <v>3</v>
      </c>
      <c r="C282" t="s">
        <v>202</v>
      </c>
      <c r="E282" t="s">
        <v>103</v>
      </c>
      <c r="F282" t="s">
        <v>104</v>
      </c>
      <c r="G282">
        <v>4</v>
      </c>
      <c r="H282">
        <v>0.54600000000000004</v>
      </c>
      <c r="I282" t="s">
        <v>27</v>
      </c>
      <c r="J282" t="s">
        <v>133</v>
      </c>
      <c r="K282" t="s">
        <v>174</v>
      </c>
      <c r="L282">
        <v>1</v>
      </c>
      <c r="M282" t="s">
        <v>210</v>
      </c>
    </row>
    <row r="283" spans="1:13">
      <c r="A283">
        <v>31</v>
      </c>
      <c r="B283">
        <v>3</v>
      </c>
      <c r="C283" t="s">
        <v>202</v>
      </c>
      <c r="E283" t="s">
        <v>112</v>
      </c>
      <c r="F283" t="s">
        <v>113</v>
      </c>
      <c r="G283">
        <v>2</v>
      </c>
      <c r="H283">
        <v>1E-3</v>
      </c>
      <c r="I283" t="s">
        <v>27</v>
      </c>
      <c r="J283" t="s">
        <v>133</v>
      </c>
      <c r="K283" t="s">
        <v>174</v>
      </c>
      <c r="L283">
        <v>1</v>
      </c>
      <c r="M283" t="s">
        <v>210</v>
      </c>
    </row>
    <row r="284" spans="1:13">
      <c r="A284">
        <v>31</v>
      </c>
      <c r="B284">
        <v>1</v>
      </c>
      <c r="C284" t="s">
        <v>203</v>
      </c>
      <c r="E284" t="s">
        <v>103</v>
      </c>
      <c r="F284" t="s">
        <v>104</v>
      </c>
      <c r="G284">
        <v>8</v>
      </c>
      <c r="H284">
        <v>0.75800000000000001</v>
      </c>
      <c r="I284" t="s">
        <v>27</v>
      </c>
      <c r="J284" t="s">
        <v>135</v>
      </c>
      <c r="K284" t="s">
        <v>174</v>
      </c>
      <c r="L284">
        <v>1</v>
      </c>
      <c r="M284" t="s">
        <v>210</v>
      </c>
    </row>
    <row r="285" spans="1:13">
      <c r="A285">
        <v>31</v>
      </c>
      <c r="B285">
        <v>1</v>
      </c>
      <c r="C285" t="s">
        <v>203</v>
      </c>
      <c r="E285" t="s">
        <v>81</v>
      </c>
      <c r="F285" t="s">
        <v>82</v>
      </c>
      <c r="G285">
        <v>26</v>
      </c>
      <c r="H285">
        <v>0.161</v>
      </c>
      <c r="I285" t="s">
        <v>27</v>
      </c>
      <c r="J285" t="s">
        <v>135</v>
      </c>
      <c r="K285" t="s">
        <v>174</v>
      </c>
      <c r="L285">
        <v>1</v>
      </c>
      <c r="M285" t="s">
        <v>210</v>
      </c>
    </row>
    <row r="286" spans="1:13">
      <c r="A286">
        <v>31</v>
      </c>
      <c r="B286">
        <v>1</v>
      </c>
      <c r="C286" t="s">
        <v>203</v>
      </c>
      <c r="E286" t="s">
        <v>69</v>
      </c>
      <c r="F286" t="s">
        <v>70</v>
      </c>
      <c r="H286">
        <v>103.2</v>
      </c>
      <c r="I286" t="s">
        <v>27</v>
      </c>
      <c r="J286" t="s">
        <v>135</v>
      </c>
      <c r="K286" t="s">
        <v>174</v>
      </c>
      <c r="L286">
        <v>1</v>
      </c>
      <c r="M286" t="s">
        <v>210</v>
      </c>
    </row>
    <row r="287" spans="1:13">
      <c r="A287">
        <v>31</v>
      </c>
      <c r="B287">
        <v>1</v>
      </c>
      <c r="C287" t="s">
        <v>203</v>
      </c>
      <c r="E287" t="s">
        <v>108</v>
      </c>
      <c r="F287" t="s">
        <v>109</v>
      </c>
      <c r="H287">
        <v>8.9999999999999993E-3</v>
      </c>
      <c r="I287" t="s">
        <v>27</v>
      </c>
      <c r="J287" t="s">
        <v>135</v>
      </c>
      <c r="K287" t="s">
        <v>174</v>
      </c>
      <c r="L287">
        <v>1</v>
      </c>
      <c r="M287" t="s">
        <v>210</v>
      </c>
    </row>
    <row r="288" spans="1:13">
      <c r="A288">
        <v>31</v>
      </c>
      <c r="B288">
        <v>1</v>
      </c>
      <c r="C288" t="s">
        <v>203</v>
      </c>
      <c r="E288" t="s">
        <v>22</v>
      </c>
      <c r="F288" t="s">
        <v>23</v>
      </c>
      <c r="G288">
        <v>29</v>
      </c>
      <c r="H288">
        <v>7.0000000000000007E-2</v>
      </c>
      <c r="I288" t="s">
        <v>27</v>
      </c>
      <c r="J288" t="s">
        <v>135</v>
      </c>
      <c r="K288" t="s">
        <v>174</v>
      </c>
      <c r="L288">
        <v>1</v>
      </c>
      <c r="M288" t="s">
        <v>210</v>
      </c>
    </row>
    <row r="289" spans="1:13">
      <c r="A289">
        <v>31</v>
      </c>
      <c r="B289">
        <v>1</v>
      </c>
      <c r="C289" t="s">
        <v>203</v>
      </c>
      <c r="E289" t="s">
        <v>19</v>
      </c>
      <c r="F289" t="s">
        <v>20</v>
      </c>
      <c r="G289">
        <v>1</v>
      </c>
      <c r="H289">
        <v>1E-3</v>
      </c>
      <c r="I289" t="s">
        <v>27</v>
      </c>
      <c r="J289" t="s">
        <v>135</v>
      </c>
      <c r="K289" t="s">
        <v>174</v>
      </c>
      <c r="L289">
        <v>1</v>
      </c>
      <c r="M289" t="s">
        <v>210</v>
      </c>
    </row>
    <row r="290" spans="1:13">
      <c r="A290">
        <v>31</v>
      </c>
      <c r="B290">
        <v>1</v>
      </c>
      <c r="C290" t="s">
        <v>203</v>
      </c>
      <c r="E290" t="s">
        <v>25</v>
      </c>
      <c r="F290" t="s">
        <v>26</v>
      </c>
      <c r="G290">
        <v>25</v>
      </c>
      <c r="H290">
        <v>2.8000000000000001E-2</v>
      </c>
      <c r="I290" t="s">
        <v>27</v>
      </c>
      <c r="J290" t="s">
        <v>135</v>
      </c>
      <c r="K290" t="s">
        <v>174</v>
      </c>
      <c r="L290">
        <v>1</v>
      </c>
      <c r="M290" t="s">
        <v>210</v>
      </c>
    </row>
    <row r="291" spans="1:13">
      <c r="A291">
        <v>31</v>
      </c>
      <c r="B291">
        <v>2</v>
      </c>
      <c r="C291" t="s">
        <v>204</v>
      </c>
      <c r="E291" t="s">
        <v>103</v>
      </c>
      <c r="F291" t="s">
        <v>104</v>
      </c>
      <c r="G291">
        <v>1</v>
      </c>
      <c r="H291">
        <v>0.16400000000000001</v>
      </c>
      <c r="I291" t="s">
        <v>27</v>
      </c>
      <c r="J291" t="s">
        <v>136</v>
      </c>
      <c r="K291" t="s">
        <v>174</v>
      </c>
      <c r="L291">
        <v>1</v>
      </c>
      <c r="M291" t="s">
        <v>210</v>
      </c>
    </row>
    <row r="292" spans="1:13">
      <c r="A292">
        <v>31</v>
      </c>
      <c r="B292">
        <v>2</v>
      </c>
      <c r="C292" t="s">
        <v>204</v>
      </c>
      <c r="E292" t="s">
        <v>123</v>
      </c>
      <c r="F292" t="s">
        <v>124</v>
      </c>
      <c r="G292">
        <v>1</v>
      </c>
      <c r="H292">
        <v>6.9000000000000006E-2</v>
      </c>
      <c r="I292" t="s">
        <v>27</v>
      </c>
      <c r="J292" t="s">
        <v>136</v>
      </c>
      <c r="K292" t="s">
        <v>174</v>
      </c>
      <c r="L292">
        <v>1</v>
      </c>
      <c r="M292" t="s">
        <v>210</v>
      </c>
    </row>
    <row r="293" spans="1:13">
      <c r="A293">
        <v>31</v>
      </c>
      <c r="B293">
        <v>2</v>
      </c>
      <c r="C293" t="s">
        <v>204</v>
      </c>
      <c r="E293" t="s">
        <v>22</v>
      </c>
      <c r="F293" t="s">
        <v>23</v>
      </c>
      <c r="G293">
        <v>4</v>
      </c>
      <c r="H293">
        <v>6.0000000000000001E-3</v>
      </c>
      <c r="I293" t="s">
        <v>27</v>
      </c>
      <c r="J293" t="s">
        <v>136</v>
      </c>
      <c r="K293" t="s">
        <v>174</v>
      </c>
      <c r="L293">
        <v>1</v>
      </c>
      <c r="M293" t="s">
        <v>210</v>
      </c>
    </row>
    <row r="294" spans="1:13">
      <c r="A294">
        <v>31</v>
      </c>
      <c r="B294">
        <v>2</v>
      </c>
      <c r="C294" t="s">
        <v>204</v>
      </c>
      <c r="E294" t="s">
        <v>88</v>
      </c>
      <c r="F294" t="s">
        <v>89</v>
      </c>
      <c r="I294" t="s">
        <v>27</v>
      </c>
      <c r="J294" t="s">
        <v>136</v>
      </c>
      <c r="K294" t="s">
        <v>174</v>
      </c>
      <c r="L294">
        <v>1</v>
      </c>
      <c r="M294" t="s">
        <v>210</v>
      </c>
    </row>
    <row r="295" spans="1:13">
      <c r="A295">
        <v>31</v>
      </c>
      <c r="B295">
        <v>2</v>
      </c>
      <c r="C295" t="s">
        <v>204</v>
      </c>
      <c r="E295" t="s">
        <v>137</v>
      </c>
      <c r="F295" t="s">
        <v>138</v>
      </c>
      <c r="I295" t="s">
        <v>27</v>
      </c>
      <c r="J295" t="s">
        <v>136</v>
      </c>
      <c r="K295" t="s">
        <v>174</v>
      </c>
      <c r="L295">
        <v>1</v>
      </c>
      <c r="M295" t="s">
        <v>210</v>
      </c>
    </row>
    <row r="296" spans="1:13">
      <c r="A296">
        <v>31</v>
      </c>
      <c r="B296">
        <v>2</v>
      </c>
      <c r="C296" t="s">
        <v>204</v>
      </c>
      <c r="E296" t="s">
        <v>84</v>
      </c>
      <c r="F296" t="s">
        <v>85</v>
      </c>
      <c r="G296">
        <v>1</v>
      </c>
      <c r="H296">
        <v>0.51700000000000002</v>
      </c>
      <c r="I296" t="s">
        <v>27</v>
      </c>
      <c r="J296" t="s">
        <v>136</v>
      </c>
      <c r="K296" t="s">
        <v>174</v>
      </c>
      <c r="L296">
        <v>1</v>
      </c>
      <c r="M296" t="s">
        <v>210</v>
      </c>
    </row>
    <row r="297" spans="1:13">
      <c r="A297">
        <v>31</v>
      </c>
      <c r="B297">
        <v>2</v>
      </c>
      <c r="C297" t="s">
        <v>205</v>
      </c>
      <c r="E297" t="s">
        <v>11</v>
      </c>
      <c r="F297" t="s">
        <v>12</v>
      </c>
      <c r="G297">
        <v>1</v>
      </c>
      <c r="H297">
        <v>1.28</v>
      </c>
      <c r="I297" t="s">
        <v>27</v>
      </c>
      <c r="J297" t="s">
        <v>139</v>
      </c>
      <c r="K297" t="s">
        <v>174</v>
      </c>
      <c r="L297">
        <v>1</v>
      </c>
      <c r="M297" t="s">
        <v>210</v>
      </c>
    </row>
    <row r="298" spans="1:13">
      <c r="A298">
        <v>32</v>
      </c>
      <c r="B298">
        <v>2</v>
      </c>
      <c r="C298" t="s">
        <v>205</v>
      </c>
      <c r="E298" t="s">
        <v>84</v>
      </c>
      <c r="F298" t="s">
        <v>85</v>
      </c>
      <c r="G298">
        <v>1</v>
      </c>
      <c r="H298">
        <v>0.41699999999999998</v>
      </c>
      <c r="I298" t="s">
        <v>27</v>
      </c>
      <c r="J298" t="s">
        <v>139</v>
      </c>
      <c r="K298" t="s">
        <v>174</v>
      </c>
      <c r="L298">
        <v>1</v>
      </c>
      <c r="M298" t="s">
        <v>210</v>
      </c>
    </row>
    <row r="299" spans="1:13">
      <c r="A299">
        <v>32</v>
      </c>
      <c r="B299">
        <v>2</v>
      </c>
      <c r="C299" t="s">
        <v>205</v>
      </c>
      <c r="E299" t="s">
        <v>61</v>
      </c>
      <c r="F299" t="s">
        <v>62</v>
      </c>
      <c r="G299">
        <v>4</v>
      </c>
      <c r="H299">
        <v>0.02</v>
      </c>
      <c r="I299" t="s">
        <v>27</v>
      </c>
      <c r="J299" t="s">
        <v>139</v>
      </c>
      <c r="K299" t="s">
        <v>174</v>
      </c>
      <c r="L299">
        <v>1</v>
      </c>
      <c r="M299" t="s">
        <v>210</v>
      </c>
    </row>
    <row r="300" spans="1:13">
      <c r="A300">
        <v>32</v>
      </c>
      <c r="B300">
        <v>2</v>
      </c>
      <c r="C300" t="s">
        <v>205</v>
      </c>
      <c r="E300" t="s">
        <v>40</v>
      </c>
      <c r="F300" t="s">
        <v>41</v>
      </c>
      <c r="G300">
        <v>1</v>
      </c>
      <c r="H300">
        <v>2E-3</v>
      </c>
      <c r="I300" t="s">
        <v>27</v>
      </c>
      <c r="J300" t="s">
        <v>139</v>
      </c>
      <c r="K300" t="s">
        <v>174</v>
      </c>
      <c r="L300">
        <v>1</v>
      </c>
      <c r="M300" t="s">
        <v>210</v>
      </c>
    </row>
    <row r="301" spans="1:13">
      <c r="A301">
        <v>32</v>
      </c>
      <c r="B301">
        <v>2</v>
      </c>
      <c r="C301" t="s">
        <v>205</v>
      </c>
      <c r="E301" t="s">
        <v>79</v>
      </c>
      <c r="F301" t="s">
        <v>80</v>
      </c>
      <c r="G301">
        <v>6</v>
      </c>
      <c r="H301">
        <v>3.0000000000000001E-3</v>
      </c>
      <c r="I301" t="s">
        <v>27</v>
      </c>
      <c r="J301" t="s">
        <v>139</v>
      </c>
      <c r="K301" t="s">
        <v>174</v>
      </c>
      <c r="L301">
        <v>1</v>
      </c>
      <c r="M301" t="s">
        <v>210</v>
      </c>
    </row>
    <row r="302" spans="1:13">
      <c r="A302">
        <v>32</v>
      </c>
      <c r="B302">
        <v>2</v>
      </c>
      <c r="C302" t="s">
        <v>205</v>
      </c>
      <c r="E302" t="s">
        <v>65</v>
      </c>
      <c r="F302" t="s">
        <v>66</v>
      </c>
      <c r="G302">
        <v>1</v>
      </c>
      <c r="H302">
        <v>3.0000000000000001E-3</v>
      </c>
      <c r="I302" t="s">
        <v>27</v>
      </c>
      <c r="J302" t="s">
        <v>139</v>
      </c>
      <c r="K302" t="s">
        <v>174</v>
      </c>
      <c r="L302">
        <v>1</v>
      </c>
      <c r="M302" t="s">
        <v>210</v>
      </c>
    </row>
    <row r="303" spans="1:13">
      <c r="A303">
        <v>32</v>
      </c>
      <c r="B303">
        <v>2</v>
      </c>
      <c r="C303" t="s">
        <v>205</v>
      </c>
      <c r="E303" t="s">
        <v>30</v>
      </c>
      <c r="F303" t="s">
        <v>31</v>
      </c>
      <c r="G303">
        <v>1</v>
      </c>
      <c r="H303">
        <v>2E-3</v>
      </c>
      <c r="I303" t="s">
        <v>27</v>
      </c>
      <c r="J303" t="s">
        <v>139</v>
      </c>
      <c r="K303" t="s">
        <v>174</v>
      </c>
      <c r="L303">
        <v>1</v>
      </c>
      <c r="M303" t="s">
        <v>210</v>
      </c>
    </row>
    <row r="304" spans="1:13">
      <c r="A304">
        <v>32</v>
      </c>
      <c r="B304">
        <v>2</v>
      </c>
      <c r="C304" t="s">
        <v>205</v>
      </c>
      <c r="E304" t="s">
        <v>22</v>
      </c>
      <c r="F304" t="s">
        <v>23</v>
      </c>
      <c r="G304">
        <v>279</v>
      </c>
      <c r="H304">
        <v>0.503</v>
      </c>
      <c r="I304" t="s">
        <v>27</v>
      </c>
      <c r="J304" t="s">
        <v>139</v>
      </c>
      <c r="K304" t="s">
        <v>174</v>
      </c>
      <c r="L304">
        <v>1</v>
      </c>
      <c r="M304" t="s">
        <v>210</v>
      </c>
    </row>
    <row r="305" spans="1:13">
      <c r="A305">
        <v>34</v>
      </c>
      <c r="B305">
        <v>1</v>
      </c>
      <c r="C305" t="s">
        <v>206</v>
      </c>
      <c r="E305" t="s">
        <v>110</v>
      </c>
      <c r="F305" t="s">
        <v>111</v>
      </c>
      <c r="G305">
        <v>3</v>
      </c>
      <c r="H305">
        <v>4.2999999999999997E-2</v>
      </c>
      <c r="I305" t="s">
        <v>27</v>
      </c>
      <c r="J305" t="s">
        <v>140</v>
      </c>
      <c r="K305" t="s">
        <v>174</v>
      </c>
      <c r="L305">
        <v>1</v>
      </c>
      <c r="M305" t="s">
        <v>210</v>
      </c>
    </row>
    <row r="306" spans="1:13">
      <c r="A306">
        <v>34</v>
      </c>
      <c r="B306">
        <v>1</v>
      </c>
      <c r="C306" t="s">
        <v>206</v>
      </c>
      <c r="E306" t="s">
        <v>103</v>
      </c>
      <c r="F306" t="s">
        <v>104</v>
      </c>
      <c r="G306">
        <v>16</v>
      </c>
      <c r="H306">
        <v>4.0679999999999996</v>
      </c>
      <c r="I306" t="s">
        <v>27</v>
      </c>
      <c r="J306" t="s">
        <v>140</v>
      </c>
      <c r="K306" t="s">
        <v>174</v>
      </c>
      <c r="L306">
        <v>1</v>
      </c>
      <c r="M306" t="s">
        <v>210</v>
      </c>
    </row>
    <row r="307" spans="1:13">
      <c r="A307">
        <v>34</v>
      </c>
      <c r="B307">
        <v>1</v>
      </c>
      <c r="C307" t="s">
        <v>206</v>
      </c>
      <c r="E307" t="s">
        <v>123</v>
      </c>
      <c r="F307" t="s">
        <v>124</v>
      </c>
      <c r="G307">
        <v>1</v>
      </c>
      <c r="H307">
        <v>2.5000000000000001E-2</v>
      </c>
      <c r="I307" t="s">
        <v>27</v>
      </c>
      <c r="J307" t="s">
        <v>140</v>
      </c>
      <c r="K307" t="s">
        <v>174</v>
      </c>
      <c r="L307">
        <v>1</v>
      </c>
      <c r="M307" t="s">
        <v>210</v>
      </c>
    </row>
    <row r="308" spans="1:13">
      <c r="A308">
        <v>34</v>
      </c>
      <c r="B308">
        <v>1</v>
      </c>
      <c r="C308" t="s">
        <v>206</v>
      </c>
      <c r="E308" t="s">
        <v>100</v>
      </c>
      <c r="F308" t="s">
        <v>101</v>
      </c>
      <c r="G308">
        <v>1</v>
      </c>
      <c r="H308">
        <v>2.5000000000000001E-2</v>
      </c>
      <c r="I308" t="s">
        <v>27</v>
      </c>
      <c r="J308" t="s">
        <v>140</v>
      </c>
      <c r="K308" t="s">
        <v>174</v>
      </c>
      <c r="L308">
        <v>1</v>
      </c>
      <c r="M308" t="s">
        <v>210</v>
      </c>
    </row>
    <row r="309" spans="1:13">
      <c r="A309">
        <v>34</v>
      </c>
      <c r="B309">
        <v>1</v>
      </c>
      <c r="C309" t="s">
        <v>206</v>
      </c>
      <c r="E309" t="s">
        <v>106</v>
      </c>
      <c r="F309" t="s">
        <v>107</v>
      </c>
      <c r="G309">
        <v>3</v>
      </c>
      <c r="H309">
        <v>8.0000000000000002E-3</v>
      </c>
      <c r="I309" t="s">
        <v>27</v>
      </c>
      <c r="J309" t="s">
        <v>140</v>
      </c>
      <c r="K309" t="s">
        <v>174</v>
      </c>
      <c r="L309">
        <v>1</v>
      </c>
      <c r="M309" t="s">
        <v>210</v>
      </c>
    </row>
    <row r="310" spans="1:13">
      <c r="A310">
        <v>34</v>
      </c>
      <c r="B310">
        <v>1</v>
      </c>
      <c r="C310" t="s">
        <v>206</v>
      </c>
      <c r="E310" t="s">
        <v>11</v>
      </c>
      <c r="F310" t="s">
        <v>12</v>
      </c>
      <c r="G310">
        <v>11</v>
      </c>
      <c r="H310">
        <v>11.778</v>
      </c>
      <c r="I310" t="s">
        <v>27</v>
      </c>
      <c r="J310" t="s">
        <v>140</v>
      </c>
      <c r="K310" t="s">
        <v>174</v>
      </c>
      <c r="L310">
        <v>1</v>
      </c>
      <c r="M310" t="s">
        <v>210</v>
      </c>
    </row>
    <row r="311" spans="1:13">
      <c r="A311">
        <v>34</v>
      </c>
      <c r="B311">
        <v>1</v>
      </c>
      <c r="C311" t="s">
        <v>206</v>
      </c>
      <c r="E311" t="s">
        <v>92</v>
      </c>
      <c r="F311" t="s">
        <v>93</v>
      </c>
      <c r="G311">
        <v>34</v>
      </c>
      <c r="H311">
        <v>0.1</v>
      </c>
      <c r="I311" t="s">
        <v>27</v>
      </c>
      <c r="J311" t="s">
        <v>140</v>
      </c>
      <c r="K311" t="s">
        <v>174</v>
      </c>
      <c r="L311">
        <v>1</v>
      </c>
      <c r="M311" t="s">
        <v>210</v>
      </c>
    </row>
    <row r="312" spans="1:13">
      <c r="A312">
        <v>34</v>
      </c>
      <c r="B312">
        <v>1</v>
      </c>
      <c r="C312" t="s">
        <v>206</v>
      </c>
      <c r="E312" t="s">
        <v>114</v>
      </c>
      <c r="F312" t="s">
        <v>115</v>
      </c>
      <c r="G312">
        <v>1</v>
      </c>
      <c r="H312">
        <v>3.0000000000000001E-3</v>
      </c>
      <c r="I312" t="s">
        <v>27</v>
      </c>
      <c r="J312" t="s">
        <v>140</v>
      </c>
      <c r="K312" t="s">
        <v>174</v>
      </c>
      <c r="L312">
        <v>1</v>
      </c>
      <c r="M312" t="s">
        <v>210</v>
      </c>
    </row>
    <row r="313" spans="1:13">
      <c r="A313">
        <v>34</v>
      </c>
      <c r="B313">
        <v>1</v>
      </c>
      <c r="C313" t="s">
        <v>206</v>
      </c>
      <c r="E313" t="s">
        <v>141</v>
      </c>
      <c r="F313" t="s">
        <v>142</v>
      </c>
      <c r="G313">
        <v>2</v>
      </c>
      <c r="H313">
        <v>0.02</v>
      </c>
      <c r="I313" t="s">
        <v>27</v>
      </c>
      <c r="J313" t="s">
        <v>140</v>
      </c>
      <c r="K313" t="s">
        <v>174</v>
      </c>
      <c r="L313">
        <v>1</v>
      </c>
      <c r="M313" t="s">
        <v>210</v>
      </c>
    </row>
    <row r="314" spans="1:13">
      <c r="A314">
        <v>34</v>
      </c>
      <c r="B314">
        <v>1</v>
      </c>
      <c r="C314" t="s">
        <v>206</v>
      </c>
      <c r="E314" t="s">
        <v>108</v>
      </c>
      <c r="F314" t="s">
        <v>109</v>
      </c>
      <c r="I314" t="s">
        <v>27</v>
      </c>
      <c r="J314" t="s">
        <v>140</v>
      </c>
      <c r="K314" t="s">
        <v>174</v>
      </c>
      <c r="L314">
        <v>1</v>
      </c>
      <c r="M314" t="s">
        <v>210</v>
      </c>
    </row>
    <row r="315" spans="1:13">
      <c r="A315">
        <v>34</v>
      </c>
      <c r="B315">
        <v>1</v>
      </c>
      <c r="C315" t="s">
        <v>206</v>
      </c>
      <c r="E315" t="s">
        <v>75</v>
      </c>
      <c r="F315" t="s">
        <v>76</v>
      </c>
      <c r="I315" t="s">
        <v>27</v>
      </c>
      <c r="J315" t="s">
        <v>140</v>
      </c>
      <c r="K315" t="s">
        <v>174</v>
      </c>
      <c r="L315">
        <v>1</v>
      </c>
      <c r="M315" t="s">
        <v>210</v>
      </c>
    </row>
    <row r="316" spans="1:13">
      <c r="A316">
        <v>34</v>
      </c>
      <c r="B316">
        <v>1</v>
      </c>
      <c r="C316" t="s">
        <v>206</v>
      </c>
      <c r="E316" t="s">
        <v>71</v>
      </c>
      <c r="F316" t="s">
        <v>72</v>
      </c>
      <c r="I316" t="s">
        <v>27</v>
      </c>
      <c r="J316" t="s">
        <v>140</v>
      </c>
      <c r="K316" t="s">
        <v>174</v>
      </c>
      <c r="L316">
        <v>1</v>
      </c>
      <c r="M316" t="s">
        <v>210</v>
      </c>
    </row>
    <row r="317" spans="1:13">
      <c r="A317">
        <v>34</v>
      </c>
      <c r="B317">
        <v>1</v>
      </c>
      <c r="C317" t="s">
        <v>206</v>
      </c>
      <c r="E317" t="s">
        <v>119</v>
      </c>
      <c r="F317" t="s">
        <v>120</v>
      </c>
      <c r="I317" t="s">
        <v>27</v>
      </c>
      <c r="J317" t="s">
        <v>140</v>
      </c>
      <c r="K317" t="s">
        <v>174</v>
      </c>
      <c r="L317">
        <v>1</v>
      </c>
      <c r="M317" t="s">
        <v>210</v>
      </c>
    </row>
    <row r="318" spans="1:13">
      <c r="A318">
        <v>34</v>
      </c>
      <c r="B318">
        <v>1</v>
      </c>
      <c r="C318" t="s">
        <v>206</v>
      </c>
      <c r="E318" t="s">
        <v>143</v>
      </c>
      <c r="F318" t="s">
        <v>144</v>
      </c>
      <c r="I318" t="s">
        <v>27</v>
      </c>
      <c r="J318" t="s">
        <v>140</v>
      </c>
      <c r="K318" t="s">
        <v>174</v>
      </c>
      <c r="L318">
        <v>1</v>
      </c>
      <c r="M318" t="s">
        <v>210</v>
      </c>
    </row>
    <row r="319" spans="1:13">
      <c r="A319">
        <v>34</v>
      </c>
      <c r="B319">
        <v>1</v>
      </c>
      <c r="C319" t="s">
        <v>206</v>
      </c>
      <c r="E319" t="s">
        <v>22</v>
      </c>
      <c r="F319" t="s">
        <v>23</v>
      </c>
      <c r="G319">
        <v>239</v>
      </c>
      <c r="H319" t="s">
        <v>145</v>
      </c>
      <c r="I319" t="s">
        <v>27</v>
      </c>
      <c r="J319" t="s">
        <v>140</v>
      </c>
      <c r="K319" t="s">
        <v>174</v>
      </c>
      <c r="L319">
        <v>1</v>
      </c>
      <c r="M319" t="s">
        <v>210</v>
      </c>
    </row>
    <row r="320" spans="1:13">
      <c r="A320">
        <v>34</v>
      </c>
      <c r="B320">
        <v>1</v>
      </c>
      <c r="C320" t="s">
        <v>206</v>
      </c>
      <c r="E320" t="s">
        <v>81</v>
      </c>
      <c r="F320" t="s">
        <v>82</v>
      </c>
      <c r="G320">
        <v>915</v>
      </c>
      <c r="H320">
        <v>3.0779999999999998</v>
      </c>
      <c r="I320" t="s">
        <v>27</v>
      </c>
      <c r="J320" t="s">
        <v>140</v>
      </c>
      <c r="K320" t="s">
        <v>174</v>
      </c>
      <c r="L320">
        <v>1</v>
      </c>
      <c r="M320" t="s">
        <v>210</v>
      </c>
    </row>
    <row r="321" spans="1:13">
      <c r="A321">
        <v>34</v>
      </c>
      <c r="B321">
        <v>1</v>
      </c>
      <c r="C321" t="s">
        <v>206</v>
      </c>
      <c r="E321" t="s">
        <v>117</v>
      </c>
      <c r="F321" t="s">
        <v>118</v>
      </c>
      <c r="G321">
        <v>1</v>
      </c>
      <c r="H321">
        <v>2E-3</v>
      </c>
      <c r="I321" t="s">
        <v>27</v>
      </c>
      <c r="J321" t="s">
        <v>140</v>
      </c>
      <c r="K321" t="s">
        <v>174</v>
      </c>
      <c r="L321">
        <v>1</v>
      </c>
      <c r="M321" t="s">
        <v>210</v>
      </c>
    </row>
    <row r="322" spans="1:13">
      <c r="A322">
        <v>34</v>
      </c>
      <c r="B322">
        <v>1</v>
      </c>
      <c r="C322" t="s">
        <v>206</v>
      </c>
      <c r="E322" t="s">
        <v>69</v>
      </c>
      <c r="F322" t="s">
        <v>70</v>
      </c>
      <c r="I322" t="s">
        <v>27</v>
      </c>
      <c r="J322" t="s">
        <v>140</v>
      </c>
      <c r="K322" t="s">
        <v>174</v>
      </c>
      <c r="L322">
        <v>1</v>
      </c>
      <c r="M322" t="s">
        <v>210</v>
      </c>
    </row>
    <row r="323" spans="1:13">
      <c r="A323">
        <v>34</v>
      </c>
      <c r="B323">
        <v>1</v>
      </c>
      <c r="C323" t="s">
        <v>206</v>
      </c>
      <c r="E323" t="s">
        <v>40</v>
      </c>
      <c r="F323" t="s">
        <v>41</v>
      </c>
      <c r="G323">
        <v>1</v>
      </c>
      <c r="H323">
        <v>2E-3</v>
      </c>
      <c r="I323" t="s">
        <v>27</v>
      </c>
      <c r="J323" t="s">
        <v>140</v>
      </c>
      <c r="K323" t="s">
        <v>174</v>
      </c>
      <c r="L323">
        <v>1</v>
      </c>
      <c r="M323" t="s">
        <v>210</v>
      </c>
    </row>
    <row r="324" spans="1:13">
      <c r="A324">
        <v>34</v>
      </c>
      <c r="B324">
        <v>1</v>
      </c>
      <c r="C324" t="s">
        <v>206</v>
      </c>
      <c r="E324" t="s">
        <v>38</v>
      </c>
      <c r="F324" t="s">
        <v>39</v>
      </c>
      <c r="G324">
        <v>1</v>
      </c>
      <c r="H324">
        <v>1E-3</v>
      </c>
      <c r="I324" t="s">
        <v>27</v>
      </c>
      <c r="J324" t="s">
        <v>140</v>
      </c>
      <c r="K324" t="s">
        <v>174</v>
      </c>
      <c r="L324">
        <v>1</v>
      </c>
      <c r="M324" t="s">
        <v>210</v>
      </c>
    </row>
    <row r="325" spans="1:13">
      <c r="A325">
        <v>34</v>
      </c>
      <c r="B325">
        <v>1</v>
      </c>
      <c r="C325" t="s">
        <v>206</v>
      </c>
      <c r="E325" t="s">
        <v>146</v>
      </c>
      <c r="F325" t="s">
        <v>147</v>
      </c>
      <c r="G325">
        <v>2</v>
      </c>
      <c r="H325">
        <v>2.7E-2</v>
      </c>
      <c r="I325" t="s">
        <v>27</v>
      </c>
      <c r="J325" t="s">
        <v>140</v>
      </c>
      <c r="K325" t="s">
        <v>174</v>
      </c>
      <c r="L325">
        <v>1</v>
      </c>
      <c r="M325" t="s">
        <v>210</v>
      </c>
    </row>
    <row r="326" spans="1:13">
      <c r="A326">
        <v>17</v>
      </c>
      <c r="B326">
        <v>1</v>
      </c>
      <c r="C326" t="s">
        <v>207</v>
      </c>
      <c r="E326" t="s">
        <v>25</v>
      </c>
      <c r="F326" t="s">
        <v>26</v>
      </c>
      <c r="G326">
        <v>269</v>
      </c>
      <c r="H326">
        <v>5.6000000000000001E-2</v>
      </c>
      <c r="I326" t="s">
        <v>13</v>
      </c>
      <c r="J326" t="s">
        <v>148</v>
      </c>
      <c r="K326" t="s">
        <v>64</v>
      </c>
      <c r="L326">
        <v>1</v>
      </c>
      <c r="M326" t="s">
        <v>209</v>
      </c>
    </row>
    <row r="327" spans="1:13">
      <c r="A327">
        <v>17</v>
      </c>
      <c r="B327">
        <v>1</v>
      </c>
      <c r="C327" t="s">
        <v>207</v>
      </c>
      <c r="E327" t="s">
        <v>75</v>
      </c>
      <c r="F327" t="s">
        <v>76</v>
      </c>
      <c r="I327" t="s">
        <v>13</v>
      </c>
      <c r="J327" t="s">
        <v>148</v>
      </c>
      <c r="K327" t="s">
        <v>64</v>
      </c>
      <c r="L327">
        <v>1</v>
      </c>
      <c r="M327" t="s">
        <v>209</v>
      </c>
    </row>
    <row r="328" spans="1:13">
      <c r="A328">
        <v>17</v>
      </c>
      <c r="B328">
        <v>1</v>
      </c>
      <c r="C328" t="s">
        <v>207</v>
      </c>
      <c r="E328" t="s">
        <v>108</v>
      </c>
      <c r="F328" t="s">
        <v>109</v>
      </c>
      <c r="I328" t="s">
        <v>13</v>
      </c>
      <c r="J328" t="s">
        <v>148</v>
      </c>
      <c r="K328" t="s">
        <v>64</v>
      </c>
      <c r="L328">
        <v>1</v>
      </c>
      <c r="M328" t="s">
        <v>209</v>
      </c>
    </row>
    <row r="329" spans="1:13">
      <c r="A329">
        <v>17</v>
      </c>
      <c r="B329">
        <v>1</v>
      </c>
      <c r="C329" t="s">
        <v>207</v>
      </c>
      <c r="E329" t="s">
        <v>11</v>
      </c>
      <c r="F329" t="s">
        <v>12</v>
      </c>
      <c r="G329">
        <v>3</v>
      </c>
      <c r="H329">
        <v>2E-3</v>
      </c>
      <c r="I329" t="s">
        <v>13</v>
      </c>
      <c r="J329" t="s">
        <v>148</v>
      </c>
      <c r="K329" t="s">
        <v>64</v>
      </c>
      <c r="L329">
        <v>1</v>
      </c>
      <c r="M329" t="s">
        <v>209</v>
      </c>
    </row>
    <row r="330" spans="1:13">
      <c r="A330">
        <v>17</v>
      </c>
      <c r="B330">
        <v>1</v>
      </c>
      <c r="C330" t="s">
        <v>207</v>
      </c>
      <c r="E330" t="s">
        <v>30</v>
      </c>
      <c r="F330" t="s">
        <v>31</v>
      </c>
      <c r="G330">
        <v>2</v>
      </c>
      <c r="H330">
        <v>2E-3</v>
      </c>
      <c r="I330" t="s">
        <v>13</v>
      </c>
      <c r="J330" t="s">
        <v>148</v>
      </c>
      <c r="K330" t="s">
        <v>64</v>
      </c>
      <c r="L330">
        <v>1</v>
      </c>
      <c r="M330" t="s">
        <v>209</v>
      </c>
    </row>
    <row r="331" spans="1:13">
      <c r="A331">
        <v>17</v>
      </c>
      <c r="B331">
        <v>1</v>
      </c>
      <c r="C331" t="s">
        <v>207</v>
      </c>
      <c r="E331" t="s">
        <v>51</v>
      </c>
      <c r="F331" t="s">
        <v>52</v>
      </c>
      <c r="G331">
        <v>1</v>
      </c>
      <c r="H331">
        <v>2E-3</v>
      </c>
      <c r="I331" t="s">
        <v>13</v>
      </c>
      <c r="J331" t="s">
        <v>148</v>
      </c>
      <c r="K331" t="s">
        <v>64</v>
      </c>
      <c r="L331">
        <v>1</v>
      </c>
      <c r="M331" t="s">
        <v>209</v>
      </c>
    </row>
    <row r="332" spans="1:13">
      <c r="A332">
        <v>17</v>
      </c>
      <c r="B332">
        <v>1</v>
      </c>
      <c r="C332" t="s">
        <v>207</v>
      </c>
      <c r="E332" t="s">
        <v>38</v>
      </c>
      <c r="F332" t="s">
        <v>39</v>
      </c>
      <c r="G332">
        <v>4</v>
      </c>
      <c r="H332">
        <v>3.0000000000000001E-3</v>
      </c>
      <c r="I332" t="s">
        <v>13</v>
      </c>
      <c r="J332" t="s">
        <v>148</v>
      </c>
      <c r="K332" t="s">
        <v>64</v>
      </c>
      <c r="L332">
        <v>1</v>
      </c>
      <c r="M332" t="s">
        <v>209</v>
      </c>
    </row>
    <row r="333" spans="1:13">
      <c r="A333">
        <v>17</v>
      </c>
      <c r="B333">
        <v>1</v>
      </c>
      <c r="C333" t="s">
        <v>207</v>
      </c>
      <c r="E333" t="s">
        <v>17</v>
      </c>
      <c r="F333" t="s">
        <v>18</v>
      </c>
      <c r="G333">
        <v>35</v>
      </c>
      <c r="H333">
        <v>3.6999999999999998E-2</v>
      </c>
      <c r="I333" t="s">
        <v>13</v>
      </c>
      <c r="J333" t="s">
        <v>148</v>
      </c>
      <c r="K333" t="s">
        <v>64</v>
      </c>
      <c r="L333">
        <v>1</v>
      </c>
      <c r="M333" t="s">
        <v>209</v>
      </c>
    </row>
    <row r="334" spans="1:13">
      <c r="A334">
        <v>17</v>
      </c>
      <c r="B334">
        <v>1</v>
      </c>
      <c r="C334" t="s">
        <v>207</v>
      </c>
      <c r="E334" t="s">
        <v>43</v>
      </c>
      <c r="F334" t="s">
        <v>44</v>
      </c>
      <c r="G334">
        <v>4</v>
      </c>
      <c r="H334">
        <v>7.0000000000000001E-3</v>
      </c>
      <c r="I334" t="s">
        <v>13</v>
      </c>
      <c r="J334" t="s">
        <v>148</v>
      </c>
      <c r="K334" t="s">
        <v>64</v>
      </c>
      <c r="L334">
        <v>1</v>
      </c>
      <c r="M334" t="s">
        <v>209</v>
      </c>
    </row>
    <row r="335" spans="1:13">
      <c r="A335">
        <v>17</v>
      </c>
      <c r="B335">
        <v>1</v>
      </c>
      <c r="C335" t="s">
        <v>207</v>
      </c>
      <c r="E335" t="s">
        <v>25</v>
      </c>
      <c r="F335" t="s">
        <v>26</v>
      </c>
      <c r="G335">
        <v>5452</v>
      </c>
      <c r="H335">
        <v>13.989000000000001</v>
      </c>
      <c r="I335" t="s">
        <v>13</v>
      </c>
      <c r="J335" t="s">
        <v>148</v>
      </c>
      <c r="K335" t="s">
        <v>149</v>
      </c>
      <c r="L335">
        <v>1</v>
      </c>
      <c r="M335" t="s">
        <v>209</v>
      </c>
    </row>
    <row r="336" spans="1:13">
      <c r="A336">
        <v>17</v>
      </c>
      <c r="B336">
        <v>1</v>
      </c>
      <c r="C336" t="s">
        <v>207</v>
      </c>
      <c r="E336" t="s">
        <v>11</v>
      </c>
      <c r="F336" t="s">
        <v>12</v>
      </c>
      <c r="G336">
        <v>15</v>
      </c>
      <c r="H336">
        <v>0.183</v>
      </c>
      <c r="I336" t="s">
        <v>13</v>
      </c>
      <c r="J336" t="s">
        <v>148</v>
      </c>
      <c r="K336" t="s">
        <v>149</v>
      </c>
      <c r="L336">
        <v>1</v>
      </c>
      <c r="M336" t="s">
        <v>209</v>
      </c>
    </row>
    <row r="337" spans="1:13">
      <c r="A337">
        <v>17</v>
      </c>
      <c r="B337">
        <v>1</v>
      </c>
      <c r="C337" t="s">
        <v>207</v>
      </c>
      <c r="E337" t="s">
        <v>75</v>
      </c>
      <c r="F337" t="s">
        <v>76</v>
      </c>
      <c r="I337" t="s">
        <v>13</v>
      </c>
      <c r="J337" t="s">
        <v>148</v>
      </c>
      <c r="K337" t="s">
        <v>149</v>
      </c>
      <c r="L337">
        <v>1</v>
      </c>
      <c r="M337" t="s">
        <v>209</v>
      </c>
    </row>
    <row r="338" spans="1:13">
      <c r="A338">
        <v>17</v>
      </c>
      <c r="B338">
        <v>1</v>
      </c>
      <c r="C338" t="s">
        <v>207</v>
      </c>
      <c r="E338" t="s">
        <v>150</v>
      </c>
      <c r="F338" t="s">
        <v>151</v>
      </c>
      <c r="I338" t="s">
        <v>13</v>
      </c>
      <c r="J338" t="s">
        <v>148</v>
      </c>
      <c r="K338" t="s">
        <v>149</v>
      </c>
      <c r="L338">
        <v>1</v>
      </c>
      <c r="M338" t="s">
        <v>209</v>
      </c>
    </row>
    <row r="339" spans="1:13">
      <c r="A339">
        <v>17</v>
      </c>
      <c r="B339">
        <v>1</v>
      </c>
      <c r="C339" t="s">
        <v>207</v>
      </c>
      <c r="E339" t="s">
        <v>38</v>
      </c>
      <c r="F339" t="s">
        <v>39</v>
      </c>
      <c r="G339">
        <v>4</v>
      </c>
      <c r="H339">
        <v>2E-3</v>
      </c>
      <c r="I339" t="s">
        <v>13</v>
      </c>
      <c r="J339" t="s">
        <v>148</v>
      </c>
      <c r="K339" t="s">
        <v>149</v>
      </c>
      <c r="L339">
        <v>1</v>
      </c>
      <c r="M339" t="s">
        <v>209</v>
      </c>
    </row>
    <row r="340" spans="1:13">
      <c r="A340">
        <v>17</v>
      </c>
      <c r="B340">
        <v>1</v>
      </c>
      <c r="C340" t="s">
        <v>207</v>
      </c>
      <c r="E340" t="s">
        <v>17</v>
      </c>
      <c r="F340" t="s">
        <v>18</v>
      </c>
      <c r="G340">
        <v>3</v>
      </c>
      <c r="H340">
        <v>2E-3</v>
      </c>
      <c r="I340" t="s">
        <v>13</v>
      </c>
      <c r="J340" t="s">
        <v>148</v>
      </c>
      <c r="K340" t="s">
        <v>149</v>
      </c>
      <c r="L340">
        <v>1</v>
      </c>
      <c r="M340" t="s">
        <v>209</v>
      </c>
    </row>
    <row r="341" spans="1:13">
      <c r="A341">
        <v>19</v>
      </c>
      <c r="B341">
        <v>1</v>
      </c>
      <c r="C341" t="s">
        <v>186</v>
      </c>
      <c r="E341" t="s">
        <v>25</v>
      </c>
      <c r="F341" t="s">
        <v>26</v>
      </c>
      <c r="G341">
        <v>5509</v>
      </c>
      <c r="H341">
        <v>12.664</v>
      </c>
      <c r="I341" t="s">
        <v>13</v>
      </c>
      <c r="J341" t="s">
        <v>148</v>
      </c>
      <c r="K341" t="s">
        <v>149</v>
      </c>
      <c r="L341">
        <v>1</v>
      </c>
      <c r="M341" t="s">
        <v>209</v>
      </c>
    </row>
    <row r="342" spans="1:13">
      <c r="A342">
        <v>19</v>
      </c>
      <c r="B342">
        <v>1</v>
      </c>
      <c r="C342" t="s">
        <v>186</v>
      </c>
      <c r="E342" t="s">
        <v>11</v>
      </c>
      <c r="F342" t="s">
        <v>12</v>
      </c>
      <c r="G342">
        <v>14</v>
      </c>
      <c r="H342">
        <v>0.82299999999999995</v>
      </c>
      <c r="I342" t="s">
        <v>13</v>
      </c>
      <c r="J342" t="s">
        <v>148</v>
      </c>
      <c r="K342" t="s">
        <v>149</v>
      </c>
      <c r="L342">
        <v>1</v>
      </c>
      <c r="M342" t="s">
        <v>209</v>
      </c>
    </row>
    <row r="343" spans="1:13">
      <c r="A343">
        <v>19</v>
      </c>
      <c r="B343">
        <v>1</v>
      </c>
      <c r="C343" t="s">
        <v>186</v>
      </c>
      <c r="E343" t="s">
        <v>108</v>
      </c>
      <c r="F343" t="s">
        <v>109</v>
      </c>
      <c r="I343" t="s">
        <v>13</v>
      </c>
      <c r="J343" t="s">
        <v>148</v>
      </c>
      <c r="K343" t="s">
        <v>149</v>
      </c>
      <c r="L343">
        <v>1</v>
      </c>
      <c r="M343" t="s">
        <v>209</v>
      </c>
    </row>
    <row r="344" spans="1:13">
      <c r="A344">
        <v>19</v>
      </c>
      <c r="B344">
        <v>1</v>
      </c>
      <c r="C344" t="s">
        <v>186</v>
      </c>
      <c r="E344" t="s">
        <v>75</v>
      </c>
      <c r="F344" t="s">
        <v>76</v>
      </c>
      <c r="I344" t="s">
        <v>13</v>
      </c>
      <c r="J344" t="s">
        <v>148</v>
      </c>
      <c r="K344" t="s">
        <v>149</v>
      </c>
      <c r="L344">
        <v>1</v>
      </c>
      <c r="M344" t="s">
        <v>209</v>
      </c>
    </row>
    <row r="345" spans="1:13">
      <c r="A345">
        <v>19</v>
      </c>
      <c r="B345">
        <v>1</v>
      </c>
      <c r="C345" t="s">
        <v>186</v>
      </c>
      <c r="E345" t="s">
        <v>15</v>
      </c>
      <c r="F345" t="s">
        <v>16</v>
      </c>
      <c r="G345">
        <v>1</v>
      </c>
      <c r="H345">
        <v>2.1999999999999999E-2</v>
      </c>
      <c r="I345" t="s">
        <v>13</v>
      </c>
      <c r="J345" t="s">
        <v>148</v>
      </c>
      <c r="K345" t="s">
        <v>149</v>
      </c>
      <c r="L345">
        <v>1</v>
      </c>
      <c r="M345" t="s">
        <v>209</v>
      </c>
    </row>
    <row r="346" spans="1:13">
      <c r="A346">
        <v>19</v>
      </c>
      <c r="B346">
        <v>1</v>
      </c>
      <c r="C346" t="s">
        <v>186</v>
      </c>
      <c r="E346" t="s">
        <v>38</v>
      </c>
      <c r="F346" t="s">
        <v>39</v>
      </c>
      <c r="G346">
        <v>5</v>
      </c>
      <c r="H346">
        <v>1E-3</v>
      </c>
      <c r="I346" t="s">
        <v>13</v>
      </c>
      <c r="J346" t="s">
        <v>148</v>
      </c>
      <c r="K346" t="s">
        <v>149</v>
      </c>
      <c r="L346">
        <v>1</v>
      </c>
      <c r="M346" t="s">
        <v>209</v>
      </c>
    </row>
    <row r="347" spans="1:13">
      <c r="A347">
        <v>19</v>
      </c>
      <c r="B347">
        <v>1</v>
      </c>
      <c r="C347" t="s">
        <v>186</v>
      </c>
      <c r="E347" t="s">
        <v>43</v>
      </c>
      <c r="F347" t="s">
        <v>44</v>
      </c>
      <c r="G347">
        <v>12</v>
      </c>
      <c r="H347">
        <v>5.0000000000000001E-3</v>
      </c>
      <c r="I347" t="s">
        <v>13</v>
      </c>
      <c r="J347" t="s">
        <v>148</v>
      </c>
      <c r="K347" t="s">
        <v>149</v>
      </c>
      <c r="L347">
        <v>1</v>
      </c>
      <c r="M347" t="s">
        <v>209</v>
      </c>
    </row>
    <row r="348" spans="1:13">
      <c r="A348">
        <v>19</v>
      </c>
      <c r="B348">
        <v>1</v>
      </c>
      <c r="C348" t="s">
        <v>186</v>
      </c>
      <c r="E348" t="s">
        <v>17</v>
      </c>
      <c r="F348" t="s">
        <v>18</v>
      </c>
      <c r="G348">
        <v>2</v>
      </c>
      <c r="H348">
        <v>2E-3</v>
      </c>
      <c r="I348" t="s">
        <v>13</v>
      </c>
      <c r="J348" t="s">
        <v>148</v>
      </c>
      <c r="K348" t="s">
        <v>149</v>
      </c>
      <c r="L348">
        <v>1</v>
      </c>
      <c r="M348" t="s">
        <v>209</v>
      </c>
    </row>
    <row r="356" customFormat="1"/>
  </sheetData>
  <autoFilter ref="E1:E356" xr:uid="{00000000-0001-0000-0000-000000000000}"/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AFDFD-B9AA-41B2-9C3F-67475FE37D44}">
  <dimension ref="I3:M15"/>
  <sheetViews>
    <sheetView zoomScale="75" workbookViewId="0">
      <selection activeCell="I3" sqref="I3:M15"/>
    </sheetView>
  </sheetViews>
  <sheetFormatPr defaultRowHeight="14.4"/>
  <sheetData>
    <row r="3" spans="9:13">
      <c r="I3" s="2"/>
      <c r="J3" s="2"/>
      <c r="K3" s="2"/>
      <c r="L3" s="2"/>
      <c r="M3" s="2"/>
    </row>
    <row r="4" spans="9:13" ht="15" thickBot="1">
      <c r="I4" s="2"/>
      <c r="J4" s="2"/>
      <c r="K4" s="2"/>
      <c r="L4" s="2"/>
      <c r="M4" s="2"/>
    </row>
    <row r="5" spans="9:13">
      <c r="I5" s="3" t="s">
        <v>152</v>
      </c>
      <c r="J5" s="4"/>
      <c r="K5" s="4"/>
      <c r="L5" s="5"/>
      <c r="M5" s="2"/>
    </row>
    <row r="6" spans="9:13">
      <c r="I6" s="6"/>
      <c r="J6" s="2" t="s">
        <v>153</v>
      </c>
      <c r="K6" s="2"/>
      <c r="L6" s="7"/>
      <c r="M6" s="2"/>
    </row>
    <row r="7" spans="9:13">
      <c r="I7" s="8" t="s">
        <v>154</v>
      </c>
      <c r="J7" s="9">
        <v>3.6269999999999998</v>
      </c>
      <c r="K7" s="2" t="s">
        <v>155</v>
      </c>
      <c r="L7" s="7"/>
      <c r="M7" s="2"/>
    </row>
    <row r="8" spans="9:13">
      <c r="I8" s="8" t="s">
        <v>156</v>
      </c>
      <c r="J8" s="10">
        <f>0.527+0.007</f>
        <v>0.53400000000000003</v>
      </c>
      <c r="K8" s="10"/>
      <c r="L8" s="7"/>
      <c r="M8" s="2"/>
    </row>
    <row r="9" spans="9:13">
      <c r="I9" s="8" t="s">
        <v>157</v>
      </c>
      <c r="J9" s="10">
        <v>2.5000000000000001E-2</v>
      </c>
      <c r="K9" s="10"/>
      <c r="L9" s="7"/>
      <c r="M9" s="2"/>
    </row>
    <row r="10" spans="9:13" ht="15" thickBot="1">
      <c r="I10" s="11"/>
      <c r="J10" s="12"/>
      <c r="K10" s="12"/>
      <c r="L10" s="13"/>
      <c r="M10" s="2"/>
    </row>
    <row r="11" spans="9:13">
      <c r="I11" s="2"/>
      <c r="J11" s="2"/>
      <c r="K11" s="2"/>
      <c r="L11" s="2"/>
      <c r="M11" s="2"/>
    </row>
    <row r="12" spans="9:13">
      <c r="I12" s="14" t="s">
        <v>158</v>
      </c>
      <c r="J12" s="15">
        <f>SUM(J7:K9)*SUM(J8:K8)/SUM(J8:K9)</f>
        <v>3.9987906976744187</v>
      </c>
      <c r="K12" s="2"/>
      <c r="L12" s="2"/>
      <c r="M12" s="2"/>
    </row>
    <row r="13" spans="9:13">
      <c r="I13" s="14" t="s">
        <v>159</v>
      </c>
      <c r="J13" s="15">
        <f>SUM(J7:K9)*SUM(J9:K9)/SUM(J8:K9)</f>
        <v>0.18720930232558139</v>
      </c>
      <c r="K13" s="2"/>
      <c r="L13" s="2"/>
      <c r="M13" s="2"/>
    </row>
    <row r="14" spans="9:13">
      <c r="I14" s="2" t="s">
        <v>160</v>
      </c>
      <c r="J14" s="2">
        <f>ROUND(J12+J13,0)</f>
        <v>4</v>
      </c>
      <c r="K14" s="2"/>
      <c r="L14" s="2"/>
      <c r="M14" s="2"/>
    </row>
    <row r="15" spans="9:13">
      <c r="I15" s="2"/>
      <c r="J15" s="2"/>
      <c r="K15" s="2"/>
      <c r="L15" s="2"/>
      <c r="M15" s="2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Sheet1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</cp:lastModifiedBy>
  <dcterms:created xsi:type="dcterms:W3CDTF">2026-06-08T18:23:54Z</dcterms:created>
  <dcterms:modified xsi:type="dcterms:W3CDTF">2026-07-15T19:19:10Z</dcterms:modified>
</cp:coreProperties>
</file>