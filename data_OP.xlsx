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лэмб\Onega_benthos\OnegaBenthos25\"/>
    </mc:Choice>
  </mc:AlternateContent>
  <xr:revisionPtr revIDLastSave="0" documentId="13_ncr:1_{4F53DBA7-755D-4332-82E0-5E7C57A88B2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2" l="1"/>
  <c r="J8" i="2"/>
  <c r="J12" i="2" s="1"/>
  <c r="J14" i="2" s="1"/>
</calcChain>
</file>

<file path=xl/sharedStrings.xml><?xml version="1.0" encoding="utf-8"?>
<sst xmlns="http://schemas.openxmlformats.org/spreadsheetml/2006/main" count="2415" uniqueCount="337">
  <si>
    <t>station</t>
  </si>
  <si>
    <t>sample</t>
  </si>
  <si>
    <t>station_name</t>
  </si>
  <si>
    <t>size_code</t>
  </si>
  <si>
    <t>taxon_name</t>
  </si>
  <si>
    <t>species_code</t>
  </si>
  <si>
    <t>density</t>
  </si>
  <si>
    <t>biomass</t>
  </si>
  <si>
    <t>added_by_user</t>
  </si>
  <si>
    <t>notes</t>
  </si>
  <si>
    <t>...11</t>
  </si>
  <si>
    <t>ОН8_3</t>
  </si>
  <si>
    <t>Macoma balthica</t>
  </si>
  <si>
    <t>435</t>
  </si>
  <si>
    <t>11,456</t>
  </si>
  <si>
    <t>Аристов</t>
  </si>
  <si>
    <t>Alexeeva_onega25.pdf(11), Poloskin-2_01.jpg, (0.5)</t>
  </si>
  <si>
    <t>Alita virens</t>
  </si>
  <si>
    <t>789</t>
  </si>
  <si>
    <t>0,025</t>
  </si>
  <si>
    <t>Tubifex costatus</t>
  </si>
  <si>
    <t>828</t>
  </si>
  <si>
    <t>0,005</t>
  </si>
  <si>
    <t>Hydrobia ventrosa</t>
  </si>
  <si>
    <t>376</t>
  </si>
  <si>
    <t>0,372</t>
  </si>
  <si>
    <t>Alexeeva_onega25.pdf(11), Poloskin-2_01.jpg, (0.5), рассчетные значения, суммарно 339x3,462</t>
  </si>
  <si>
    <t>Hydrobia ulvae</t>
  </si>
  <si>
    <t>375</t>
  </si>
  <si>
    <t>3,438</t>
  </si>
  <si>
    <t>Alexeeva_onega25.pdf(11), Poloskin-2_01.jpg, (0.5), рассчетные значения, суммарно 339x3,463</t>
  </si>
  <si>
    <t>Hydrobia sp.</t>
  </si>
  <si>
    <t>#N/A</t>
  </si>
  <si>
    <t>0,027</t>
  </si>
  <si>
    <t>Манылова</t>
  </si>
  <si>
    <t>Nereis sp.</t>
  </si>
  <si>
    <t>788</t>
  </si>
  <si>
    <t>0,001</t>
  </si>
  <si>
    <t>Nephthys minuta</t>
  </si>
  <si>
    <t>784</t>
  </si>
  <si>
    <t>ОН8_2</t>
  </si>
  <si>
    <t>6,895</t>
  </si>
  <si>
    <t>Alexeeva_onega25.pdf(12), Poloskin-2_01.jpg, (0.5)</t>
  </si>
  <si>
    <t>Mya arenaria</t>
  </si>
  <si>
    <t>440</t>
  </si>
  <si>
    <t>1,199</t>
  </si>
  <si>
    <t>1,266</t>
  </si>
  <si>
    <t>Alexeeva_onega25.pdf(12), рассчетные значения, суммарно 470x1,087</t>
  </si>
  <si>
    <t>0,065</t>
  </si>
  <si>
    <t>0,003</t>
  </si>
  <si>
    <t>0,057</t>
  </si>
  <si>
    <t>ОН8_1</t>
  </si>
  <si>
    <t>0,017</t>
  </si>
  <si>
    <t>av-dop.pdf(17)</t>
  </si>
  <si>
    <t>4,595</t>
  </si>
  <si>
    <t>0,002</t>
  </si>
  <si>
    <t>av-dop</t>
  </si>
  <si>
    <t>Pygospio elegans</t>
  </si>
  <si>
    <t>740</t>
  </si>
  <si>
    <t>Tubificoides benedeni</t>
  </si>
  <si>
    <t>829</t>
  </si>
  <si>
    <t>24,601</t>
  </si>
  <si>
    <t>ОН16_3</t>
  </si>
  <si>
    <t>4,631</t>
  </si>
  <si>
    <t>Alexeeva_onega25.pdf(10), Poloskin-2_06.jpg, (0.5)</t>
  </si>
  <si>
    <t>Paranais litoralis</t>
  </si>
  <si>
    <t>833</t>
  </si>
  <si>
    <t>0,011</t>
  </si>
  <si>
    <t>0,076</t>
  </si>
  <si>
    <t>Alexeeva_onega25.pdf(10), Poloskin-2_06.jpg, (0.5), рассчетные значения, суммарно 894x5,528</t>
  </si>
  <si>
    <t>5,831</t>
  </si>
  <si>
    <t>Fabricia sabella</t>
  </si>
  <si>
    <t>797</t>
  </si>
  <si>
    <t>Alexeeva_onega25.pdf(10), Poloskin-2_06.jpg, (0.5) возможен перенос с сита</t>
  </si>
  <si>
    <t>Capitella capitata</t>
  </si>
  <si>
    <t>642</t>
  </si>
  <si>
    <t>Eteone longa</t>
  </si>
  <si>
    <t>709</t>
  </si>
  <si>
    <t>0,008</t>
  </si>
  <si>
    <t>ОН16_2</t>
  </si>
  <si>
    <t>3,28</t>
  </si>
  <si>
    <t>Alexeeva_onega25.pdf(12, 13 (0.5))</t>
  </si>
  <si>
    <t>1,952</t>
  </si>
  <si>
    <t>0,004</t>
  </si>
  <si>
    <t>0,007</t>
  </si>
  <si>
    <t>0,187</t>
  </si>
  <si>
    <t>Alexeeva_onega25.pdf(12,13), рассчетные значения, суммарно 1177x3627 + гидробии из 0.5</t>
  </si>
  <si>
    <t>ОН16_1</t>
  </si>
  <si>
    <t>0,012</t>
  </si>
  <si>
    <t>0,006</t>
  </si>
  <si>
    <t>13,603</t>
  </si>
  <si>
    <t>av-dop.pdf</t>
  </si>
  <si>
    <t>ОН17_3</t>
  </si>
  <si>
    <t>0,614</t>
  </si>
  <si>
    <t>Alexeeva_onega25.pdf(7-8), фауна с сита 0.5 просуммирована</t>
  </si>
  <si>
    <t>0,086</t>
  </si>
  <si>
    <t>Alexeeva_onega25.pdf(7-8), фауна с сита 0.5 просуммирована, рассчетные значения, суммарно 720x2,051</t>
  </si>
  <si>
    <t>1,966</t>
  </si>
  <si>
    <t>Polychaeta</t>
  </si>
  <si>
    <t>819</t>
  </si>
  <si>
    <t>ОН17_2</t>
  </si>
  <si>
    <t>2,847</t>
  </si>
  <si>
    <t>2,34</t>
  </si>
  <si>
    <t>0,146</t>
  </si>
  <si>
    <t>ОН18_3</t>
  </si>
  <si>
    <t>Alexeeva_onega25.pdf(9-10), Poloskin-2_02.jpg, (0.5)</t>
  </si>
  <si>
    <t>Arenicola marina</t>
  </si>
  <si>
    <t>615</t>
  </si>
  <si>
    <t>0,016</t>
  </si>
  <si>
    <t>0,054</t>
  </si>
  <si>
    <t>Alexeeva_onega25.pdf(9-10), Poloskin-2_02.jpg, (0.5), рассчетные значения, суммарно 1262x4,129</t>
  </si>
  <si>
    <t>5,123</t>
  </si>
  <si>
    <t>ОН18_2</t>
  </si>
  <si>
    <t>4,145</t>
  </si>
  <si>
    <t>0,01</t>
  </si>
  <si>
    <t>0,143</t>
  </si>
  <si>
    <t>3,824</t>
  </si>
  <si>
    <t>сито 0.5</t>
  </si>
  <si>
    <t>ОН19_1</t>
  </si>
  <si>
    <t>Clitellio arenarius</t>
  </si>
  <si>
    <t>826</t>
  </si>
  <si>
    <t>1,38</t>
  </si>
  <si>
    <t>34,714</t>
  </si>
  <si>
    <t>Microspio sp.</t>
  </si>
  <si>
    <t>ОН19_3</t>
  </si>
  <si>
    <t>5,246</t>
  </si>
  <si>
    <t>0,69</t>
  </si>
  <si>
    <t>0,034</t>
  </si>
  <si>
    <t>0,124</t>
  </si>
  <si>
    <t>2,676</t>
  </si>
  <si>
    <t>ОН19_2</t>
  </si>
  <si>
    <t>6,752</t>
  </si>
  <si>
    <t>0,047</t>
  </si>
  <si>
    <t>0,1</t>
  </si>
  <si>
    <t>1,444</t>
  </si>
  <si>
    <t>ОН32_3</t>
  </si>
  <si>
    <t>1,805</t>
  </si>
  <si>
    <t>Alexeeva_onega25.pdf(3-4)</t>
  </si>
  <si>
    <t>Fucus vesiculosus</t>
  </si>
  <si>
    <t>993</t>
  </si>
  <si>
    <t>0,194</t>
  </si>
  <si>
    <t>Enteromorpha prolifera</t>
  </si>
  <si>
    <t>1000</t>
  </si>
  <si>
    <t>1,69</t>
  </si>
  <si>
    <t>Ilea zostericola</t>
  </si>
  <si>
    <t>1002</t>
  </si>
  <si>
    <t>Polysiphonia sp.</t>
  </si>
  <si>
    <t>969</t>
  </si>
  <si>
    <t>Nymphon sp.</t>
  </si>
  <si>
    <t>276</t>
  </si>
  <si>
    <t>0,009</t>
  </si>
  <si>
    <t>Spio theeli</t>
  </si>
  <si>
    <t>732</t>
  </si>
  <si>
    <t>Mytilus edulis</t>
  </si>
  <si>
    <t>457</t>
  </si>
  <si>
    <t>1,228</t>
  </si>
  <si>
    <t>0,741</t>
  </si>
  <si>
    <t>ОН32_1</t>
  </si>
  <si>
    <t>2,916</t>
  </si>
  <si>
    <t>Alexeeva_onega25.pdf(4-5)</t>
  </si>
  <si>
    <t>Crangon crangon</t>
  </si>
  <si>
    <t>250</t>
  </si>
  <si>
    <t>0,839</t>
  </si>
  <si>
    <t>4,15</t>
  </si>
  <si>
    <t>0,114</t>
  </si>
  <si>
    <t>Pyllaiella litoralis</t>
  </si>
  <si>
    <t>985</t>
  </si>
  <si>
    <t>Dynamena pumila</t>
  </si>
  <si>
    <t>6</t>
  </si>
  <si>
    <t>0,019</t>
  </si>
  <si>
    <t>Aulactinia stella</t>
  </si>
  <si>
    <t>91</t>
  </si>
  <si>
    <t>0,039</t>
  </si>
  <si>
    <t>Gammarus sp.</t>
  </si>
  <si>
    <t>189</t>
  </si>
  <si>
    <t>Calliopius laeviusculus</t>
  </si>
  <si>
    <t>157</t>
  </si>
  <si>
    <t>Chironomidae</t>
  </si>
  <si>
    <t>281</t>
  </si>
  <si>
    <t>Phyllodoce maculata</t>
  </si>
  <si>
    <t>718</t>
  </si>
  <si>
    <t>1,118</t>
  </si>
  <si>
    <t>Littorina littorea</t>
  </si>
  <si>
    <t>379</t>
  </si>
  <si>
    <t>2,036</t>
  </si>
  <si>
    <t>Alexeeva_onega25.pdf(5-6)</t>
  </si>
  <si>
    <t>ОН34_3</t>
  </si>
  <si>
    <t>0,553</t>
  </si>
  <si>
    <t>6,025</t>
  </si>
  <si>
    <t>0,288</t>
  </si>
  <si>
    <t>1,166</t>
  </si>
  <si>
    <t>Littorina obtusata</t>
  </si>
  <si>
    <t>380</t>
  </si>
  <si>
    <t>1,708</t>
  </si>
  <si>
    <t>возм. часть - L. fabalis, Alexeeva_onega25.pdf(5-6)</t>
  </si>
  <si>
    <t>Epheria vincta</t>
  </si>
  <si>
    <t>373</t>
  </si>
  <si>
    <t>Cladophora sericea</t>
  </si>
  <si>
    <t>996</t>
  </si>
  <si>
    <t>0,109</t>
  </si>
  <si>
    <t>Lacuna neritoidea</t>
  </si>
  <si>
    <t>374</t>
  </si>
  <si>
    <t>Enchitreidae</t>
  </si>
  <si>
    <t>830</t>
  </si>
  <si>
    <t>0,159</t>
  </si>
  <si>
    <t>Jaera albifrons</t>
  </si>
  <si>
    <t>261</t>
  </si>
  <si>
    <t>ОН34_2</t>
  </si>
  <si>
    <t>10,139</t>
  </si>
  <si>
    <t>Alexeeva_onega25.pdf(6-7)</t>
  </si>
  <si>
    <t>0,231</t>
  </si>
  <si>
    <t>Onoba aculeus</t>
  </si>
  <si>
    <t>383</t>
  </si>
  <si>
    <t>0,847</t>
  </si>
  <si>
    <t>8,051</t>
  </si>
  <si>
    <t>Dictyosiphon sp.</t>
  </si>
  <si>
    <t>982</t>
  </si>
  <si>
    <t>ОН23_1</t>
  </si>
  <si>
    <t>Alexeeva_onega25.pdf(14)</t>
  </si>
  <si>
    <t>0,516</t>
  </si>
  <si>
    <t>ОН23_2</t>
  </si>
  <si>
    <t>2,969</t>
  </si>
  <si>
    <t>ОН23_3</t>
  </si>
  <si>
    <t>0,39</t>
  </si>
  <si>
    <t>Alexeeva_onega25.pdf(16)</t>
  </si>
  <si>
    <t>ОН24_2</t>
  </si>
  <si>
    <t>Littorina saxatilis</t>
  </si>
  <si>
    <t>381</t>
  </si>
  <si>
    <t>Alexeeva_onega25.pdf(15)</t>
  </si>
  <si>
    <t>0,178</t>
  </si>
  <si>
    <t>3,013</t>
  </si>
  <si>
    <t>ОН24_1</t>
  </si>
  <si>
    <t>Ilea zosterifolia</t>
  </si>
  <si>
    <t>1,121</t>
  </si>
  <si>
    <t>1,607</t>
  </si>
  <si>
    <t>ОН24_3</t>
  </si>
  <si>
    <t>0,058</t>
  </si>
  <si>
    <t>Alexeeva_onega25.pdf(15-16)</t>
  </si>
  <si>
    <t>0,022</t>
  </si>
  <si>
    <t>3,558</t>
  </si>
  <si>
    <t>ОН25_1</t>
  </si>
  <si>
    <t>10,254</t>
  </si>
  <si>
    <t>0,409</t>
  </si>
  <si>
    <t>0,695</t>
  </si>
  <si>
    <t>ОН25_2</t>
  </si>
  <si>
    <t>7,427</t>
  </si>
  <si>
    <t>0,876</t>
  </si>
  <si>
    <t>0,021</t>
  </si>
  <si>
    <t>ОН25_3</t>
  </si>
  <si>
    <t>0,668</t>
  </si>
  <si>
    <t>Alexeeva_onega25.pdf(13)</t>
  </si>
  <si>
    <t>Cladophora rupestris</t>
  </si>
  <si>
    <t>997</t>
  </si>
  <si>
    <t>Elachistea sp.</t>
  </si>
  <si>
    <t>986</t>
  </si>
  <si>
    <t>0,912</t>
  </si>
  <si>
    <t>7,389</t>
  </si>
  <si>
    <t>ОН31_3</t>
  </si>
  <si>
    <t>Petrov_onega25.pdf(2-3)</t>
  </si>
  <si>
    <t>0,051</t>
  </si>
  <si>
    <t>Nematoda</t>
  </si>
  <si>
    <t>24,9</t>
  </si>
  <si>
    <t>0,546</t>
  </si>
  <si>
    <t>ОН31_1</t>
  </si>
  <si>
    <t>0,758</t>
  </si>
  <si>
    <t>Petrov_onega25.pdf(3-4)</t>
  </si>
  <si>
    <t>0,161</t>
  </si>
  <si>
    <t>103,2</t>
  </si>
  <si>
    <t>0,07</t>
  </si>
  <si>
    <t>0,028</t>
  </si>
  <si>
    <t>ОН31_2</t>
  </si>
  <si>
    <t>0,164</t>
  </si>
  <si>
    <t>Petrov_onega25.pdf(4)</t>
  </si>
  <si>
    <t>0,069</t>
  </si>
  <si>
    <t>Obelia sp.</t>
  </si>
  <si>
    <t>54</t>
  </si>
  <si>
    <t>0,517</t>
  </si>
  <si>
    <t>ОН32_2</t>
  </si>
  <si>
    <t>1,28</t>
  </si>
  <si>
    <t>Efimov_onega25.pdf(6)</t>
  </si>
  <si>
    <t>0,417</t>
  </si>
  <si>
    <t>0,02</t>
  </si>
  <si>
    <t>0,503</t>
  </si>
  <si>
    <t>ОН34_1</t>
  </si>
  <si>
    <t>0,043</t>
  </si>
  <si>
    <t>Efimov_onega25.pdf(3-6)</t>
  </si>
  <si>
    <t>4,068</t>
  </si>
  <si>
    <t>11,778</t>
  </si>
  <si>
    <t>Caprella septemtrionalis</t>
  </si>
  <si>
    <t>163</t>
  </si>
  <si>
    <t>Ectocarpus sp.</t>
  </si>
  <si>
    <t>984</t>
  </si>
  <si>
    <t>100</t>
  </si>
  <si>
    <t>3,078</t>
  </si>
  <si>
    <t>Phyllodoce groenlandica</t>
  </si>
  <si>
    <t>717</t>
  </si>
  <si>
    <t>ОН17_1</t>
  </si>
  <si>
    <t>0,056</t>
  </si>
  <si>
    <t>ДА (личный)</t>
  </si>
  <si>
    <t>0,037</t>
  </si>
  <si>
    <t>13,989</t>
  </si>
  <si>
    <t>сито 1</t>
  </si>
  <si>
    <t>0,183</t>
  </si>
  <si>
    <t>Phyllophora brodiaei</t>
  </si>
  <si>
    <t>950</t>
  </si>
  <si>
    <t>12,664</t>
  </si>
  <si>
    <t>0,823</t>
  </si>
  <si>
    <t>вводим сюда значения</t>
  </si>
  <si>
    <t>выборка 1</t>
  </si>
  <si>
    <t>Nобщ</t>
  </si>
  <si>
    <t>выборка 2</t>
  </si>
  <si>
    <t>nP</t>
  </si>
  <si>
    <t>nE</t>
  </si>
  <si>
    <t>NPрасс</t>
  </si>
  <si>
    <t>NEрасс</t>
  </si>
  <si>
    <t>Ntotal</t>
  </si>
  <si>
    <t xml:space="preserve">сито 1 </t>
  </si>
  <si>
    <t>4,159</t>
  </si>
  <si>
    <t>0,103</t>
  </si>
  <si>
    <t>Alexeeva_onega25.pdf(10)</t>
  </si>
  <si>
    <t xml:space="preserve"> Poloskin-2_06.jpg, (0.5)</t>
  </si>
  <si>
    <t>3,992</t>
  </si>
  <si>
    <t>7,81</t>
  </si>
  <si>
    <t>NA</t>
  </si>
  <si>
    <t xml:space="preserve">Alexeeva_onega25.pdf(12), </t>
  </si>
  <si>
    <t>PoloskinA-1_01.jpg</t>
  </si>
  <si>
    <t>Poloskin-2_02.jpg, (0.5)</t>
  </si>
  <si>
    <t>Alexeeva_onega25.pdf(9-10)</t>
  </si>
  <si>
    <t>1,527</t>
  </si>
  <si>
    <t>Alexeeva_onega25.pdf(11)</t>
  </si>
  <si>
    <t>Alexeeva_onega25.pdf(8)</t>
  </si>
  <si>
    <t>Poloskin-2_07.jpg, (0.5)</t>
  </si>
  <si>
    <t>0,014</t>
  </si>
  <si>
    <t>Alexeeva_onega25.pdf(9)</t>
  </si>
  <si>
    <t>Poloskin-2_06.jpg, (0.5)</t>
  </si>
  <si>
    <t>без разд. на сито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</si>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</sst>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</xdr:row>
      <xdr:rowOff>38100</xdr:rowOff>
    </xdr:from>
    <xdr:to>
      <xdr:col>7</xdr:col>
      <xdr:colOff>442383</xdr:colOff>
      <xdr:row>17</xdr:row>
      <xdr:rowOff>13970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0D6B61A-DAA9-4251-9B48-596E867BA0C0}"/>
            </a:ext>
          </a:extLst>
        </xdr:cNvPr>
        <xdr:cNvSpPr txBox="1"/>
      </xdr:nvSpPr>
      <xdr:spPr>
        <a:xfrm>
          <a:off x="381000" y="220980"/>
          <a:ext cx="4328583" cy="290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ru-RU" altLang="en-US" sz="1100"/>
            <a:t>Поскольку численность гидробий была очень высока, для выяснения численности отдельных видов (</a:t>
          </a:r>
          <a:r>
            <a:rPr lang="en-US" altLang="ru-RU" sz="1100"/>
            <a:t>Peringia ulvae </a:t>
          </a:r>
          <a:r>
            <a:rPr lang="ru-RU" altLang="en-US" sz="1100"/>
            <a:t>и </a:t>
          </a:r>
          <a:r>
            <a:rPr lang="en-US" altLang="ru-RU" sz="1100"/>
            <a:t>Ecrobia ventrosa)</a:t>
          </a:r>
          <a:r>
            <a:rPr lang="ru-RU" altLang="en-US" sz="1100"/>
            <a:t> делали подвыборки, в которых считали соотношения видов. Рассчетное количество особей отдельных видов, а также их рассчетную биомассу вычисляли, исходя из формулы:</a:t>
          </a:r>
        </a:p>
        <a:p>
          <a:pPr algn="l"/>
          <a:r>
            <a:rPr lang="en-US" altLang="ru-RU" sz="1100"/>
            <a:t>(</a:t>
          </a:r>
          <a:r>
            <a:rPr lang="ru-RU" altLang="en-US" sz="1100"/>
            <a:t>пример для рассчета количества </a:t>
          </a:r>
          <a:r>
            <a:rPr lang="en-US" altLang="ru-RU" sz="1100"/>
            <a:t>Peringia ulvae</a:t>
          </a:r>
          <a:r>
            <a:rPr lang="ru-RU" altLang="en-US" sz="1100"/>
            <a:t>)</a:t>
          </a:r>
        </a:p>
        <a:p>
          <a:pPr algn="l"/>
          <a:endParaRPr lang="ru-RU" altLang="en-US" sz="1100"/>
        </a:p>
        <a:p>
          <a:pPr algn="l"/>
          <a:endParaRPr lang="ru-RU" altLang="en-US" sz="1100"/>
        </a:p>
        <a:p>
          <a:pPr algn="l"/>
          <a:endParaRPr lang="ru-RU" altLang="en-US" sz="1100"/>
        </a:p>
        <a:p>
          <a:pPr algn="l"/>
          <a:r>
            <a:rPr lang="ru-RU" altLang="en-US" sz="1100"/>
            <a:t> где </a:t>
          </a:r>
          <a:r>
            <a:rPr lang="en-US" altLang="ru-RU" sz="1100"/>
            <a:t>N</a:t>
          </a:r>
          <a:r>
            <a:rPr lang="en-US" altLang="ru-RU" sz="1100" baseline="-25000">
              <a:solidFill>
                <a:schemeClr val="tx1"/>
              </a:solidFill>
              <a:uFillTx/>
            </a:rPr>
            <a:t>P</a:t>
          </a:r>
          <a:r>
            <a:rPr lang="ru-RU" altLang="en-US" sz="1100" baseline="-25000">
              <a:solidFill>
                <a:schemeClr val="tx1"/>
              </a:solidFill>
              <a:uFillTx/>
            </a:rPr>
            <a:t>расс</a:t>
          </a:r>
          <a:r>
            <a:rPr lang="en-US" altLang="ru-RU" sz="1100"/>
            <a:t> </a:t>
          </a:r>
          <a:r>
            <a:rPr lang="ru-RU" altLang="en-US" sz="1100"/>
            <a:t>-</a:t>
          </a:r>
          <a:r>
            <a:rPr lang="en-US" altLang="ru-RU" sz="1100"/>
            <a:t> </a:t>
          </a:r>
          <a:r>
            <a:rPr lang="ru-RU" altLang="en-US" sz="1100"/>
            <a:t>рассчетное количество </a:t>
          </a:r>
          <a:r>
            <a:rPr lang="en-US" altLang="ru-RU" sz="1100"/>
            <a:t>Peringia ulvae</a:t>
          </a:r>
          <a:r>
            <a:rPr lang="ru-RU" altLang="en-US" sz="1100"/>
            <a:t>, </a:t>
          </a:r>
          <a:r>
            <a:rPr lang="en-US" altLang="ru-RU" sz="1100"/>
            <a:t>N</a:t>
          </a:r>
          <a:r>
            <a:rPr lang="ru-RU" altLang="en-US" sz="1100" baseline="-25000">
              <a:solidFill>
                <a:schemeClr val="tx1"/>
              </a:solidFill>
              <a:uFillTx/>
            </a:rPr>
            <a:t>общ</a:t>
          </a:r>
          <a:r>
            <a:rPr lang="ru-RU" altLang="en-US" sz="1100"/>
            <a:t> - суммарное количество гидробий обоих видов в пробе без учета выборки, </a:t>
          </a:r>
          <a:r>
            <a:rPr lang="en-US" altLang="ru-RU" sz="1100"/>
            <a:t>n</a:t>
          </a:r>
          <a:r>
            <a:rPr lang="en-US" altLang="ru-RU" sz="1100" baseline="-25000">
              <a:solidFill>
                <a:schemeClr val="tx1"/>
              </a:solidFill>
              <a:uFillTx/>
            </a:rPr>
            <a:t>P</a:t>
          </a:r>
          <a:r>
            <a:rPr lang="en-US" altLang="ru-RU" sz="1100"/>
            <a:t> </a:t>
          </a:r>
          <a:r>
            <a:rPr lang="ru-RU" altLang="en-US" sz="1100"/>
            <a:t>и </a:t>
          </a:r>
          <a:r>
            <a:rPr lang="en-US" altLang="ru-RU" sz="1100"/>
            <a:t>n</a:t>
          </a:r>
          <a:r>
            <a:rPr lang="en-US" altLang="ru-RU" sz="1100" baseline="-25000">
              <a:solidFill>
                <a:schemeClr val="tx1"/>
              </a:solidFill>
              <a:uFillTx/>
            </a:rPr>
            <a:t>E</a:t>
          </a:r>
          <a:r>
            <a:rPr lang="en-US" altLang="ru-RU" sz="1100"/>
            <a:t> - </a:t>
          </a:r>
          <a:r>
            <a:rPr lang="ru-RU" altLang="en-US" sz="1100"/>
            <a:t>количество </a:t>
          </a:r>
          <a:r>
            <a:rPr lang="en-US" altLang="ru-RU" sz="1100"/>
            <a:t>P. ulvae </a:t>
          </a:r>
          <a:r>
            <a:rPr lang="ru-RU" altLang="en-US" sz="1100"/>
            <a:t>и </a:t>
          </a:r>
          <a:r>
            <a:rPr lang="en-US" altLang="ru-RU" sz="1100"/>
            <a:t>E. ventrosa </a:t>
          </a:r>
          <a:r>
            <a:rPr lang="ru-RU" altLang="en-US" sz="1100"/>
            <a:t>в выборке соответственно. Аналогично вычислялась биомасса видов. В случае, если выборок было несколько за </a:t>
          </a:r>
          <a:r>
            <a:rPr lang="en-US" altLang="ru-RU" sz="1100"/>
            <a:t>n</a:t>
          </a:r>
          <a:r>
            <a:rPr lang="en-US" altLang="ru-RU" sz="1100" baseline="-25000">
              <a:solidFill>
                <a:schemeClr val="tx1"/>
              </a:solidFill>
              <a:uFillTx/>
            </a:rPr>
            <a:t>P</a:t>
          </a:r>
          <a:r>
            <a:rPr lang="en-US" altLang="ru-RU" sz="1100"/>
            <a:t> </a:t>
          </a:r>
          <a:r>
            <a:rPr lang="ru-RU" altLang="en-US" sz="1100"/>
            <a:t>и </a:t>
          </a:r>
          <a:r>
            <a:rPr lang="en-US" altLang="ru-RU" sz="1100"/>
            <a:t>n</a:t>
          </a:r>
          <a:r>
            <a:rPr lang="en-US" altLang="ru-RU" sz="1100" baseline="-25000">
              <a:solidFill>
                <a:schemeClr val="tx1"/>
              </a:solidFill>
              <a:uFillTx/>
            </a:rPr>
            <a:t>E</a:t>
          </a:r>
          <a:r>
            <a:rPr lang="en-US" altLang="ru-RU" sz="1100"/>
            <a:t> </a:t>
          </a:r>
          <a:r>
            <a:rPr lang="ru-RU" altLang="en-US" sz="1100"/>
            <a:t>принималась суммированная для двух выборок численность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6"/>
  <sheetViews>
    <sheetView tabSelected="1" zoomScale="59" zoomScaleNormal="62" workbookViewId="0">
      <selection activeCell="L259" sqref="L259:L272"/>
    </sheetView>
  </sheetViews>
  <sheetFormatPr defaultRowHeight="14.4"/>
  <cols>
    <col min="3" max="3" width="15" customWidth="1"/>
    <col min="5" max="5" width="17.109375" customWidth="1"/>
    <col min="6" max="6" width="11.109375" customWidth="1"/>
    <col min="9" max="9" width="13.77734375" customWidth="1"/>
    <col min="10" max="10" width="24.5546875" customWidth="1"/>
    <col min="11" max="11" width="19.21875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336</v>
      </c>
    </row>
    <row r="2" spans="1:12">
      <c r="A2">
        <v>8</v>
      </c>
      <c r="B2">
        <v>3</v>
      </c>
      <c r="C2" t="s">
        <v>11</v>
      </c>
      <c r="E2" t="s">
        <v>12</v>
      </c>
      <c r="F2" t="s">
        <v>13</v>
      </c>
      <c r="H2" t="s">
        <v>14</v>
      </c>
      <c r="I2" t="s">
        <v>15</v>
      </c>
      <c r="J2" t="s">
        <v>16</v>
      </c>
      <c r="K2" t="s">
        <v>301</v>
      </c>
      <c r="L2" s="16">
        <v>30</v>
      </c>
    </row>
    <row r="3" spans="1:12">
      <c r="A3">
        <v>8</v>
      </c>
      <c r="B3">
        <v>3</v>
      </c>
      <c r="C3" t="s">
        <v>11</v>
      </c>
      <c r="E3" t="s">
        <v>17</v>
      </c>
      <c r="F3" t="s">
        <v>18</v>
      </c>
      <c r="G3">
        <v>2</v>
      </c>
      <c r="H3" t="s">
        <v>19</v>
      </c>
      <c r="I3" t="s">
        <v>15</v>
      </c>
      <c r="J3" t="s">
        <v>16</v>
      </c>
      <c r="K3" t="s">
        <v>301</v>
      </c>
      <c r="L3">
        <v>30</v>
      </c>
    </row>
    <row r="4" spans="1:12">
      <c r="A4">
        <v>8</v>
      </c>
      <c r="B4">
        <v>3</v>
      </c>
      <c r="C4" t="s">
        <v>11</v>
      </c>
      <c r="E4" t="s">
        <v>23</v>
      </c>
      <c r="F4" t="s">
        <v>24</v>
      </c>
      <c r="G4">
        <v>72</v>
      </c>
      <c r="H4" t="s">
        <v>25</v>
      </c>
      <c r="I4" t="s">
        <v>15</v>
      </c>
      <c r="J4" t="s">
        <v>26</v>
      </c>
      <c r="K4" t="s">
        <v>301</v>
      </c>
      <c r="L4" s="16">
        <v>30</v>
      </c>
    </row>
    <row r="5" spans="1:12">
      <c r="A5">
        <v>8</v>
      </c>
      <c r="B5">
        <v>3</v>
      </c>
      <c r="C5" t="s">
        <v>11</v>
      </c>
      <c r="E5" t="s">
        <v>27</v>
      </c>
      <c r="F5" t="s">
        <v>28</v>
      </c>
      <c r="G5">
        <v>407</v>
      </c>
      <c r="H5" t="s">
        <v>29</v>
      </c>
      <c r="I5" t="s">
        <v>15</v>
      </c>
      <c r="J5" t="s">
        <v>30</v>
      </c>
      <c r="K5" t="s">
        <v>316</v>
      </c>
      <c r="L5">
        <v>30</v>
      </c>
    </row>
    <row r="6" spans="1:12">
      <c r="A6">
        <v>8</v>
      </c>
      <c r="B6">
        <v>3</v>
      </c>
      <c r="C6" t="s">
        <v>11</v>
      </c>
      <c r="E6" t="s">
        <v>31</v>
      </c>
      <c r="F6" t="s">
        <v>32</v>
      </c>
      <c r="G6">
        <v>51</v>
      </c>
      <c r="H6" t="s">
        <v>33</v>
      </c>
      <c r="I6" t="s">
        <v>34</v>
      </c>
      <c r="J6" t="s">
        <v>16</v>
      </c>
      <c r="K6" t="s">
        <v>117</v>
      </c>
      <c r="L6" s="16">
        <v>30</v>
      </c>
    </row>
    <row r="7" spans="1:12">
      <c r="A7">
        <v>8</v>
      </c>
      <c r="B7">
        <v>3</v>
      </c>
      <c r="C7" t="s">
        <v>11</v>
      </c>
      <c r="E7" t="s">
        <v>20</v>
      </c>
      <c r="F7" t="s">
        <v>21</v>
      </c>
      <c r="G7">
        <v>3</v>
      </c>
      <c r="H7" t="s">
        <v>83</v>
      </c>
      <c r="I7" t="s">
        <v>15</v>
      </c>
      <c r="J7" t="s">
        <v>16</v>
      </c>
      <c r="K7" t="s">
        <v>117</v>
      </c>
      <c r="L7">
        <v>30</v>
      </c>
    </row>
    <row r="8" spans="1:12">
      <c r="A8">
        <v>8</v>
      </c>
      <c r="B8">
        <v>3</v>
      </c>
      <c r="C8" t="s">
        <v>11</v>
      </c>
      <c r="E8" t="s">
        <v>35</v>
      </c>
      <c r="F8" t="s">
        <v>36</v>
      </c>
      <c r="G8">
        <v>1</v>
      </c>
      <c r="H8" t="s">
        <v>37</v>
      </c>
      <c r="I8" t="s">
        <v>34</v>
      </c>
      <c r="J8" t="s">
        <v>16</v>
      </c>
      <c r="K8" t="s">
        <v>117</v>
      </c>
      <c r="L8" s="16">
        <v>30</v>
      </c>
    </row>
    <row r="9" spans="1:12">
      <c r="A9">
        <v>8</v>
      </c>
      <c r="B9">
        <v>3</v>
      </c>
      <c r="C9" t="s">
        <v>11</v>
      </c>
      <c r="E9" t="s">
        <v>38</v>
      </c>
      <c r="F9" t="s">
        <v>39</v>
      </c>
      <c r="G9">
        <v>1</v>
      </c>
      <c r="H9" t="s">
        <v>37</v>
      </c>
      <c r="I9" t="s">
        <v>34</v>
      </c>
      <c r="J9" t="s">
        <v>16</v>
      </c>
      <c r="K9" t="s">
        <v>117</v>
      </c>
      <c r="L9">
        <v>30</v>
      </c>
    </row>
    <row r="10" spans="1:12">
      <c r="A10">
        <v>8</v>
      </c>
      <c r="B10">
        <v>2</v>
      </c>
      <c r="C10" t="s">
        <v>40</v>
      </c>
      <c r="E10" t="s">
        <v>12</v>
      </c>
      <c r="F10" t="s">
        <v>13</v>
      </c>
      <c r="G10">
        <v>24</v>
      </c>
      <c r="H10" t="s">
        <v>41</v>
      </c>
      <c r="I10" t="s">
        <v>15</v>
      </c>
      <c r="J10" t="s">
        <v>42</v>
      </c>
      <c r="K10" t="s">
        <v>301</v>
      </c>
      <c r="L10" s="16">
        <v>30</v>
      </c>
    </row>
    <row r="11" spans="1:12">
      <c r="A11">
        <v>8</v>
      </c>
      <c r="B11">
        <v>2</v>
      </c>
      <c r="C11" t="s">
        <v>40</v>
      </c>
      <c r="E11" t="s">
        <v>43</v>
      </c>
      <c r="F11" t="s">
        <v>44</v>
      </c>
      <c r="G11">
        <v>3</v>
      </c>
      <c r="H11" t="s">
        <v>45</v>
      </c>
      <c r="I11" t="s">
        <v>15</v>
      </c>
      <c r="J11" t="s">
        <v>42</v>
      </c>
      <c r="K11" t="s">
        <v>301</v>
      </c>
      <c r="L11">
        <v>30</v>
      </c>
    </row>
    <row r="12" spans="1:12">
      <c r="A12">
        <v>8</v>
      </c>
      <c r="B12">
        <v>2</v>
      </c>
      <c r="C12" t="s">
        <v>40</v>
      </c>
      <c r="E12" t="s">
        <v>27</v>
      </c>
      <c r="F12" t="s">
        <v>28</v>
      </c>
      <c r="G12">
        <v>549</v>
      </c>
      <c r="H12" t="s">
        <v>46</v>
      </c>
      <c r="I12" t="s">
        <v>15</v>
      </c>
      <c r="J12" t="s">
        <v>47</v>
      </c>
      <c r="K12" t="s">
        <v>301</v>
      </c>
      <c r="L12" s="16">
        <v>30</v>
      </c>
    </row>
    <row r="13" spans="1:12">
      <c r="A13">
        <v>8</v>
      </c>
      <c r="B13">
        <v>2</v>
      </c>
      <c r="C13" t="s">
        <v>40</v>
      </c>
      <c r="E13" t="s">
        <v>23</v>
      </c>
      <c r="F13" t="s">
        <v>24</v>
      </c>
      <c r="G13">
        <v>40</v>
      </c>
      <c r="H13" t="s">
        <v>48</v>
      </c>
      <c r="I13" t="s">
        <v>15</v>
      </c>
      <c r="J13" t="s">
        <v>47</v>
      </c>
      <c r="K13" t="s">
        <v>301</v>
      </c>
      <c r="L13">
        <v>30</v>
      </c>
    </row>
    <row r="14" spans="1:12">
      <c r="A14">
        <v>8</v>
      </c>
      <c r="B14">
        <v>2</v>
      </c>
      <c r="C14" t="s">
        <v>40</v>
      </c>
      <c r="E14" t="s">
        <v>20</v>
      </c>
      <c r="F14" t="s">
        <v>21</v>
      </c>
      <c r="G14">
        <v>2</v>
      </c>
      <c r="H14" t="s">
        <v>49</v>
      </c>
      <c r="I14" t="s">
        <v>34</v>
      </c>
      <c r="J14" t="s">
        <v>42</v>
      </c>
      <c r="K14" t="s">
        <v>117</v>
      </c>
      <c r="L14" s="16">
        <v>30</v>
      </c>
    </row>
    <row r="15" spans="1:12">
      <c r="A15">
        <v>8</v>
      </c>
      <c r="B15">
        <v>2</v>
      </c>
      <c r="C15" t="s">
        <v>40</v>
      </c>
      <c r="E15" t="s">
        <v>38</v>
      </c>
      <c r="F15" t="s">
        <v>39</v>
      </c>
      <c r="G15">
        <v>1</v>
      </c>
      <c r="H15" t="s">
        <v>37</v>
      </c>
      <c r="I15" t="s">
        <v>34</v>
      </c>
      <c r="J15" t="s">
        <v>42</v>
      </c>
      <c r="K15" t="s">
        <v>117</v>
      </c>
      <c r="L15">
        <v>30</v>
      </c>
    </row>
    <row r="16" spans="1:12">
      <c r="A16">
        <v>8</v>
      </c>
      <c r="B16">
        <v>2</v>
      </c>
      <c r="C16" t="s">
        <v>40</v>
      </c>
      <c r="E16" t="s">
        <v>31</v>
      </c>
      <c r="F16" t="s">
        <v>32</v>
      </c>
      <c r="G16">
        <v>101</v>
      </c>
      <c r="H16" t="s">
        <v>50</v>
      </c>
      <c r="I16" t="s">
        <v>34</v>
      </c>
      <c r="J16" t="s">
        <v>42</v>
      </c>
      <c r="K16" t="s">
        <v>117</v>
      </c>
      <c r="L16" s="16">
        <v>30</v>
      </c>
    </row>
    <row r="17" spans="1:12">
      <c r="A17">
        <v>8</v>
      </c>
      <c r="B17">
        <v>1</v>
      </c>
      <c r="C17" t="s">
        <v>51</v>
      </c>
      <c r="E17" t="s">
        <v>35</v>
      </c>
      <c r="F17" t="s">
        <v>36</v>
      </c>
      <c r="G17">
        <v>1</v>
      </c>
      <c r="H17" t="s">
        <v>52</v>
      </c>
      <c r="I17" t="s">
        <v>34</v>
      </c>
      <c r="J17" t="s">
        <v>53</v>
      </c>
      <c r="K17" t="s">
        <v>301</v>
      </c>
      <c r="L17" s="16">
        <v>1</v>
      </c>
    </row>
    <row r="18" spans="1:12">
      <c r="A18">
        <v>8</v>
      </c>
      <c r="B18">
        <v>1</v>
      </c>
      <c r="C18" t="s">
        <v>51</v>
      </c>
      <c r="E18" t="s">
        <v>43</v>
      </c>
      <c r="F18" t="s">
        <v>44</v>
      </c>
      <c r="G18">
        <v>16</v>
      </c>
      <c r="H18" t="s">
        <v>54</v>
      </c>
      <c r="I18" t="s">
        <v>34</v>
      </c>
      <c r="J18" t="s">
        <v>53</v>
      </c>
      <c r="K18" t="s">
        <v>301</v>
      </c>
      <c r="L18" s="16">
        <v>1</v>
      </c>
    </row>
    <row r="19" spans="1:12">
      <c r="A19">
        <v>8</v>
      </c>
      <c r="B19">
        <v>1</v>
      </c>
      <c r="C19" t="s">
        <v>51</v>
      </c>
      <c r="E19" t="s">
        <v>31</v>
      </c>
      <c r="F19" t="s">
        <v>32</v>
      </c>
      <c r="G19">
        <v>2149</v>
      </c>
      <c r="H19" t="s">
        <v>317</v>
      </c>
      <c r="I19" t="s">
        <v>34</v>
      </c>
      <c r="J19" t="s">
        <v>53</v>
      </c>
      <c r="K19" t="s">
        <v>301</v>
      </c>
      <c r="L19" s="16">
        <v>1</v>
      </c>
    </row>
    <row r="20" spans="1:12">
      <c r="A20">
        <v>8</v>
      </c>
      <c r="B20">
        <v>1</v>
      </c>
      <c r="C20" t="s">
        <v>51</v>
      </c>
      <c r="E20" t="s">
        <v>12</v>
      </c>
      <c r="F20" t="s">
        <v>13</v>
      </c>
      <c r="G20">
        <v>85</v>
      </c>
      <c r="H20" t="s">
        <v>61</v>
      </c>
      <c r="I20" t="s">
        <v>34</v>
      </c>
      <c r="J20" t="s">
        <v>56</v>
      </c>
      <c r="K20" t="s">
        <v>301</v>
      </c>
      <c r="L20" s="16">
        <v>1</v>
      </c>
    </row>
    <row r="21" spans="1:12">
      <c r="A21">
        <v>8</v>
      </c>
      <c r="B21">
        <v>1</v>
      </c>
      <c r="C21" t="s">
        <v>51</v>
      </c>
      <c r="E21" t="s">
        <v>31</v>
      </c>
      <c r="F21" t="s">
        <v>32</v>
      </c>
      <c r="G21">
        <v>382</v>
      </c>
      <c r="H21" t="s">
        <v>318</v>
      </c>
      <c r="I21" t="s">
        <v>34</v>
      </c>
      <c r="J21" t="s">
        <v>53</v>
      </c>
      <c r="K21" t="s">
        <v>117</v>
      </c>
      <c r="L21" s="16">
        <v>1</v>
      </c>
    </row>
    <row r="22" spans="1:12">
      <c r="A22">
        <v>8</v>
      </c>
      <c r="B22">
        <v>1</v>
      </c>
      <c r="C22" t="s">
        <v>51</v>
      </c>
      <c r="E22" t="s">
        <v>38</v>
      </c>
      <c r="F22" t="s">
        <v>39</v>
      </c>
      <c r="G22">
        <v>2</v>
      </c>
      <c r="H22" t="s">
        <v>55</v>
      </c>
      <c r="I22" t="s">
        <v>34</v>
      </c>
      <c r="J22" t="s">
        <v>56</v>
      </c>
      <c r="K22" t="s">
        <v>117</v>
      </c>
      <c r="L22" s="16">
        <v>1</v>
      </c>
    </row>
    <row r="23" spans="1:12">
      <c r="A23">
        <v>8</v>
      </c>
      <c r="B23">
        <v>1</v>
      </c>
      <c r="C23" t="s">
        <v>51</v>
      </c>
      <c r="E23" t="s">
        <v>57</v>
      </c>
      <c r="F23" t="s">
        <v>58</v>
      </c>
      <c r="G23">
        <v>6</v>
      </c>
      <c r="H23" t="s">
        <v>49</v>
      </c>
      <c r="I23" t="s">
        <v>34</v>
      </c>
      <c r="J23" t="s">
        <v>56</v>
      </c>
      <c r="K23" t="s">
        <v>117</v>
      </c>
      <c r="L23" s="16">
        <v>1</v>
      </c>
    </row>
    <row r="24" spans="1:12">
      <c r="A24">
        <v>8</v>
      </c>
      <c r="B24">
        <v>1</v>
      </c>
      <c r="C24" t="s">
        <v>51</v>
      </c>
      <c r="E24" t="s">
        <v>59</v>
      </c>
      <c r="F24" t="s">
        <v>60</v>
      </c>
      <c r="G24">
        <v>3</v>
      </c>
      <c r="H24" t="s">
        <v>55</v>
      </c>
      <c r="I24" t="s">
        <v>34</v>
      </c>
      <c r="J24" t="s">
        <v>56</v>
      </c>
      <c r="K24" t="s">
        <v>117</v>
      </c>
      <c r="L24" s="16">
        <v>1</v>
      </c>
    </row>
    <row r="25" spans="1:12">
      <c r="A25">
        <v>8</v>
      </c>
      <c r="B25">
        <v>1</v>
      </c>
      <c r="C25" t="s">
        <v>51</v>
      </c>
      <c r="E25" t="s">
        <v>20</v>
      </c>
      <c r="F25" t="s">
        <v>21</v>
      </c>
      <c r="G25">
        <v>4</v>
      </c>
      <c r="H25" t="s">
        <v>37</v>
      </c>
      <c r="I25" t="s">
        <v>34</v>
      </c>
      <c r="J25" t="s">
        <v>56</v>
      </c>
      <c r="K25" t="s">
        <v>117</v>
      </c>
      <c r="L25" s="16">
        <v>1</v>
      </c>
    </row>
    <row r="26" spans="1:12">
      <c r="A26">
        <v>16</v>
      </c>
      <c r="B26">
        <v>3</v>
      </c>
      <c r="C26" t="s">
        <v>62</v>
      </c>
      <c r="E26" t="s">
        <v>12</v>
      </c>
      <c r="F26" t="s">
        <v>13</v>
      </c>
      <c r="G26">
        <v>18</v>
      </c>
      <c r="H26" t="s">
        <v>63</v>
      </c>
      <c r="I26" t="s">
        <v>15</v>
      </c>
      <c r="J26" t="s">
        <v>64</v>
      </c>
      <c r="K26" t="s">
        <v>301</v>
      </c>
      <c r="L26" s="16">
        <v>30</v>
      </c>
    </row>
    <row r="27" spans="1:12">
      <c r="A27">
        <v>16</v>
      </c>
      <c r="B27">
        <v>3</v>
      </c>
      <c r="C27" t="s">
        <v>62</v>
      </c>
      <c r="E27" t="s">
        <v>38</v>
      </c>
      <c r="F27" t="s">
        <v>39</v>
      </c>
      <c r="G27">
        <v>1</v>
      </c>
      <c r="H27" t="s">
        <v>55</v>
      </c>
      <c r="I27" t="s">
        <v>15</v>
      </c>
      <c r="J27" t="s">
        <v>64</v>
      </c>
      <c r="K27" t="s">
        <v>301</v>
      </c>
      <c r="L27" s="16">
        <v>30</v>
      </c>
    </row>
    <row r="28" spans="1:12">
      <c r="A28">
        <v>16</v>
      </c>
      <c r="B28">
        <v>3</v>
      </c>
      <c r="C28" t="s">
        <v>62</v>
      </c>
      <c r="E28" t="s">
        <v>65</v>
      </c>
      <c r="F28" t="s">
        <v>66</v>
      </c>
      <c r="G28">
        <v>1</v>
      </c>
      <c r="H28" t="s">
        <v>37</v>
      </c>
      <c r="I28" t="s">
        <v>15</v>
      </c>
      <c r="J28" t="s">
        <v>64</v>
      </c>
      <c r="K28" t="s">
        <v>301</v>
      </c>
      <c r="L28" s="16">
        <v>30</v>
      </c>
    </row>
    <row r="29" spans="1:12">
      <c r="A29">
        <v>16</v>
      </c>
      <c r="B29">
        <v>3</v>
      </c>
      <c r="C29" t="s">
        <v>62</v>
      </c>
      <c r="E29" t="s">
        <v>20</v>
      </c>
      <c r="F29" t="s">
        <v>21</v>
      </c>
      <c r="G29">
        <v>3</v>
      </c>
      <c r="H29" t="s">
        <v>22</v>
      </c>
      <c r="I29" t="s">
        <v>15</v>
      </c>
      <c r="J29" t="s">
        <v>64</v>
      </c>
      <c r="K29" t="s">
        <v>301</v>
      </c>
      <c r="L29" s="16">
        <v>30</v>
      </c>
    </row>
    <row r="30" spans="1:12">
      <c r="A30">
        <v>16</v>
      </c>
      <c r="B30">
        <v>3</v>
      </c>
      <c r="C30" t="s">
        <v>62</v>
      </c>
      <c r="E30" t="s">
        <v>23</v>
      </c>
      <c r="F30" t="s">
        <v>24</v>
      </c>
      <c r="G30">
        <v>18</v>
      </c>
      <c r="H30" t="s">
        <v>68</v>
      </c>
      <c r="I30" t="s">
        <v>15</v>
      </c>
      <c r="J30" t="s">
        <v>69</v>
      </c>
      <c r="K30" t="s">
        <v>301</v>
      </c>
      <c r="L30" s="16">
        <v>30</v>
      </c>
    </row>
    <row r="31" spans="1:12">
      <c r="A31">
        <v>16</v>
      </c>
      <c r="B31">
        <v>3</v>
      </c>
      <c r="C31" t="s">
        <v>62</v>
      </c>
      <c r="E31" t="s">
        <v>27</v>
      </c>
      <c r="F31" t="s">
        <v>28</v>
      </c>
      <c r="G31">
        <v>986</v>
      </c>
      <c r="H31" t="s">
        <v>70</v>
      </c>
      <c r="I31" t="s">
        <v>15</v>
      </c>
      <c r="J31" t="s">
        <v>69</v>
      </c>
      <c r="K31" t="s">
        <v>301</v>
      </c>
      <c r="L31" s="16">
        <v>30</v>
      </c>
    </row>
    <row r="32" spans="1:12">
      <c r="A32">
        <v>16</v>
      </c>
      <c r="B32">
        <v>3</v>
      </c>
      <c r="C32" t="s">
        <v>62</v>
      </c>
      <c r="E32" t="s">
        <v>71</v>
      </c>
      <c r="F32" t="s">
        <v>72</v>
      </c>
      <c r="G32">
        <v>5</v>
      </c>
      <c r="H32" t="s">
        <v>55</v>
      </c>
      <c r="I32" t="s">
        <v>34</v>
      </c>
      <c r="J32" t="s">
        <v>73</v>
      </c>
      <c r="K32" t="s">
        <v>117</v>
      </c>
      <c r="L32" s="16">
        <v>30</v>
      </c>
    </row>
    <row r="33" spans="1:12">
      <c r="A33">
        <v>16</v>
      </c>
      <c r="B33">
        <v>3</v>
      </c>
      <c r="C33" t="s">
        <v>62</v>
      </c>
      <c r="E33" t="s">
        <v>74</v>
      </c>
      <c r="F33" t="s">
        <v>75</v>
      </c>
      <c r="G33">
        <v>1</v>
      </c>
      <c r="H33" t="s">
        <v>55</v>
      </c>
      <c r="I33" t="s">
        <v>34</v>
      </c>
      <c r="J33" t="s">
        <v>64</v>
      </c>
      <c r="K33" t="s">
        <v>117</v>
      </c>
      <c r="L33" s="16">
        <v>30</v>
      </c>
    </row>
    <row r="34" spans="1:12">
      <c r="A34">
        <v>16</v>
      </c>
      <c r="B34">
        <v>3</v>
      </c>
      <c r="C34" t="s">
        <v>62</v>
      </c>
      <c r="E34" t="s">
        <v>76</v>
      </c>
      <c r="F34" t="s">
        <v>77</v>
      </c>
      <c r="G34">
        <v>1</v>
      </c>
      <c r="H34" t="s">
        <v>55</v>
      </c>
      <c r="I34" t="s">
        <v>34</v>
      </c>
      <c r="J34" t="s">
        <v>64</v>
      </c>
      <c r="K34" t="s">
        <v>117</v>
      </c>
      <c r="L34" s="16">
        <v>30</v>
      </c>
    </row>
    <row r="35" spans="1:12">
      <c r="A35">
        <v>16</v>
      </c>
      <c r="B35">
        <v>3</v>
      </c>
      <c r="C35" t="s">
        <v>62</v>
      </c>
      <c r="E35" t="s">
        <v>57</v>
      </c>
      <c r="F35" t="s">
        <v>58</v>
      </c>
      <c r="G35">
        <v>1</v>
      </c>
      <c r="H35" t="s">
        <v>37</v>
      </c>
      <c r="I35" t="s">
        <v>34</v>
      </c>
      <c r="J35" t="s">
        <v>64</v>
      </c>
      <c r="K35" t="s">
        <v>117</v>
      </c>
      <c r="L35" s="16">
        <v>30</v>
      </c>
    </row>
    <row r="36" spans="1:12">
      <c r="A36">
        <v>16</v>
      </c>
      <c r="B36">
        <v>3</v>
      </c>
      <c r="C36" t="s">
        <v>62</v>
      </c>
      <c r="E36" t="s">
        <v>59</v>
      </c>
      <c r="F36" t="s">
        <v>60</v>
      </c>
      <c r="G36">
        <v>1</v>
      </c>
      <c r="H36" t="s">
        <v>37</v>
      </c>
      <c r="I36" t="s">
        <v>34</v>
      </c>
      <c r="J36" t="s">
        <v>64</v>
      </c>
      <c r="K36" t="s">
        <v>117</v>
      </c>
      <c r="L36" s="16">
        <v>30</v>
      </c>
    </row>
    <row r="37" spans="1:12">
      <c r="A37">
        <v>16</v>
      </c>
      <c r="B37">
        <v>3</v>
      </c>
      <c r="C37" t="s">
        <v>62</v>
      </c>
      <c r="E37" t="s">
        <v>31</v>
      </c>
      <c r="F37" t="s">
        <v>32</v>
      </c>
      <c r="G37">
        <v>9</v>
      </c>
      <c r="H37" t="s">
        <v>78</v>
      </c>
      <c r="I37" t="s">
        <v>34</v>
      </c>
      <c r="J37" t="s">
        <v>319</v>
      </c>
      <c r="K37" t="s">
        <v>117</v>
      </c>
      <c r="L37" s="16">
        <v>30</v>
      </c>
    </row>
    <row r="38" spans="1:12">
      <c r="A38">
        <v>16</v>
      </c>
      <c r="B38">
        <v>3</v>
      </c>
      <c r="C38" t="s">
        <v>62</v>
      </c>
      <c r="E38" t="s">
        <v>20</v>
      </c>
      <c r="F38" t="s">
        <v>75</v>
      </c>
      <c r="G38">
        <v>7</v>
      </c>
      <c r="H38" t="s">
        <v>89</v>
      </c>
      <c r="I38" t="s">
        <v>34</v>
      </c>
      <c r="J38" t="s">
        <v>320</v>
      </c>
      <c r="K38" t="s">
        <v>117</v>
      </c>
      <c r="L38" s="16">
        <v>30</v>
      </c>
    </row>
    <row r="39" spans="1:12">
      <c r="A39">
        <v>16</v>
      </c>
      <c r="B39">
        <v>2</v>
      </c>
      <c r="C39" t="s">
        <v>79</v>
      </c>
      <c r="E39" t="s">
        <v>12</v>
      </c>
      <c r="F39" t="s">
        <v>13</v>
      </c>
      <c r="G39">
        <v>15</v>
      </c>
      <c r="H39" t="s">
        <v>80</v>
      </c>
      <c r="I39" t="s">
        <v>15</v>
      </c>
      <c r="J39" t="s">
        <v>81</v>
      </c>
      <c r="K39" t="s">
        <v>301</v>
      </c>
      <c r="L39" s="16">
        <v>30</v>
      </c>
    </row>
    <row r="40" spans="1:12">
      <c r="A40">
        <v>16</v>
      </c>
      <c r="B40">
        <v>2</v>
      </c>
      <c r="C40" t="s">
        <v>79</v>
      </c>
      <c r="E40" t="s">
        <v>43</v>
      </c>
      <c r="F40" t="s">
        <v>44</v>
      </c>
      <c r="G40">
        <v>2</v>
      </c>
      <c r="H40" t="s">
        <v>82</v>
      </c>
      <c r="I40" t="s">
        <v>15</v>
      </c>
      <c r="J40" t="s">
        <v>81</v>
      </c>
      <c r="K40" t="s">
        <v>301</v>
      </c>
      <c r="L40" s="16">
        <v>30</v>
      </c>
    </row>
    <row r="41" spans="1:12">
      <c r="A41">
        <v>16</v>
      </c>
      <c r="B41">
        <v>2</v>
      </c>
      <c r="C41" t="s">
        <v>79</v>
      </c>
      <c r="E41" t="s">
        <v>38</v>
      </c>
      <c r="F41" t="s">
        <v>39</v>
      </c>
      <c r="G41">
        <v>1</v>
      </c>
      <c r="H41" t="s">
        <v>49</v>
      </c>
      <c r="I41" t="s">
        <v>15</v>
      </c>
      <c r="J41" t="s">
        <v>81</v>
      </c>
      <c r="K41" t="s">
        <v>301</v>
      </c>
      <c r="L41" s="16">
        <v>30</v>
      </c>
    </row>
    <row r="42" spans="1:12">
      <c r="A42">
        <v>16</v>
      </c>
      <c r="B42">
        <v>2</v>
      </c>
      <c r="C42" t="s">
        <v>79</v>
      </c>
      <c r="E42" t="s">
        <v>57</v>
      </c>
      <c r="F42" t="s">
        <v>58</v>
      </c>
      <c r="G42">
        <v>1</v>
      </c>
      <c r="H42" t="s">
        <v>55</v>
      </c>
      <c r="I42" t="s">
        <v>15</v>
      </c>
      <c r="J42" t="s">
        <v>81</v>
      </c>
      <c r="K42" t="s">
        <v>301</v>
      </c>
      <c r="L42" s="16">
        <v>30</v>
      </c>
    </row>
    <row r="43" spans="1:12">
      <c r="A43">
        <v>16</v>
      </c>
      <c r="B43">
        <v>2</v>
      </c>
      <c r="C43" t="s">
        <v>79</v>
      </c>
      <c r="E43" t="s">
        <v>20</v>
      </c>
      <c r="F43" t="s">
        <v>21</v>
      </c>
      <c r="G43">
        <v>15</v>
      </c>
      <c r="H43" t="s">
        <v>67</v>
      </c>
      <c r="I43" t="s">
        <v>15</v>
      </c>
      <c r="J43" t="s">
        <v>81</v>
      </c>
      <c r="K43" t="s">
        <v>301</v>
      </c>
      <c r="L43" s="16">
        <v>30</v>
      </c>
    </row>
    <row r="44" spans="1:12">
      <c r="A44">
        <v>16</v>
      </c>
      <c r="B44">
        <v>2</v>
      </c>
      <c r="C44" t="s">
        <v>79</v>
      </c>
      <c r="E44" t="s">
        <v>59</v>
      </c>
      <c r="F44" t="s">
        <v>60</v>
      </c>
      <c r="G44">
        <v>5</v>
      </c>
      <c r="H44" t="s">
        <v>89</v>
      </c>
      <c r="I44" t="s">
        <v>15</v>
      </c>
      <c r="J44" t="s">
        <v>81</v>
      </c>
      <c r="K44" t="s">
        <v>301</v>
      </c>
      <c r="L44" s="16">
        <v>30</v>
      </c>
    </row>
    <row r="45" spans="1:12">
      <c r="A45">
        <v>16</v>
      </c>
      <c r="B45">
        <v>2</v>
      </c>
      <c r="C45" t="s">
        <v>79</v>
      </c>
      <c r="E45" t="s">
        <v>23</v>
      </c>
      <c r="F45" t="s">
        <v>24</v>
      </c>
      <c r="G45">
        <v>93</v>
      </c>
      <c r="H45" t="s">
        <v>85</v>
      </c>
      <c r="I45" t="s">
        <v>15</v>
      </c>
      <c r="J45" t="s">
        <v>86</v>
      </c>
      <c r="K45" t="s">
        <v>301</v>
      </c>
      <c r="L45" s="16">
        <v>30</v>
      </c>
    </row>
    <row r="46" spans="1:12">
      <c r="A46">
        <v>16</v>
      </c>
      <c r="B46">
        <v>2</v>
      </c>
      <c r="C46" t="s">
        <v>79</v>
      </c>
      <c r="E46" t="s">
        <v>27</v>
      </c>
      <c r="F46" t="s">
        <v>28</v>
      </c>
      <c r="G46">
        <v>1266</v>
      </c>
      <c r="H46" t="s">
        <v>321</v>
      </c>
      <c r="I46" t="s">
        <v>15</v>
      </c>
      <c r="J46" t="s">
        <v>86</v>
      </c>
      <c r="K46" t="s">
        <v>301</v>
      </c>
      <c r="L46" s="16">
        <v>30</v>
      </c>
    </row>
    <row r="47" spans="1:12">
      <c r="A47">
        <v>16</v>
      </c>
      <c r="B47">
        <v>2</v>
      </c>
      <c r="C47" t="s">
        <v>79</v>
      </c>
      <c r="E47" t="s">
        <v>57</v>
      </c>
      <c r="F47" t="s">
        <v>58</v>
      </c>
      <c r="G47">
        <v>1</v>
      </c>
      <c r="H47" t="s">
        <v>55</v>
      </c>
      <c r="I47" t="s">
        <v>15</v>
      </c>
      <c r="J47" t="s">
        <v>81</v>
      </c>
      <c r="K47" t="s">
        <v>301</v>
      </c>
      <c r="L47" s="16">
        <v>30</v>
      </c>
    </row>
    <row r="48" spans="1:12">
      <c r="A48">
        <v>16</v>
      </c>
      <c r="B48">
        <v>2</v>
      </c>
      <c r="C48" t="s">
        <v>79</v>
      </c>
      <c r="E48" t="s">
        <v>38</v>
      </c>
      <c r="F48" t="s">
        <v>39</v>
      </c>
      <c r="G48">
        <v>1</v>
      </c>
      <c r="H48" t="s">
        <v>55</v>
      </c>
      <c r="I48" t="s">
        <v>15</v>
      </c>
      <c r="J48" t="s">
        <v>86</v>
      </c>
      <c r="K48" t="s">
        <v>117</v>
      </c>
      <c r="L48" s="16">
        <v>30</v>
      </c>
    </row>
    <row r="49" spans="1:12">
      <c r="A49">
        <v>16</v>
      </c>
      <c r="B49">
        <v>2</v>
      </c>
      <c r="C49" t="s">
        <v>79</v>
      </c>
      <c r="E49" t="s">
        <v>20</v>
      </c>
      <c r="F49" t="s">
        <v>21</v>
      </c>
      <c r="G49">
        <v>12</v>
      </c>
      <c r="H49" t="s">
        <v>89</v>
      </c>
      <c r="I49" t="s">
        <v>15</v>
      </c>
      <c r="J49" t="s">
        <v>86</v>
      </c>
      <c r="K49" t="s">
        <v>117</v>
      </c>
      <c r="L49" s="16">
        <v>30</v>
      </c>
    </row>
    <row r="50" spans="1:12">
      <c r="A50">
        <v>16</v>
      </c>
      <c r="B50">
        <v>2</v>
      </c>
      <c r="C50" t="s">
        <v>79</v>
      </c>
      <c r="E50" t="s">
        <v>59</v>
      </c>
      <c r="F50" t="s">
        <v>60</v>
      </c>
      <c r="G50">
        <v>1</v>
      </c>
      <c r="H50" t="s">
        <v>37</v>
      </c>
      <c r="I50" t="s">
        <v>15</v>
      </c>
      <c r="J50" t="s">
        <v>81</v>
      </c>
      <c r="K50" t="s">
        <v>117</v>
      </c>
      <c r="L50" s="16">
        <v>30</v>
      </c>
    </row>
    <row r="51" spans="1:12">
      <c r="A51">
        <v>16</v>
      </c>
      <c r="B51">
        <v>2</v>
      </c>
      <c r="C51" t="s">
        <v>79</v>
      </c>
      <c r="E51" t="s">
        <v>27</v>
      </c>
      <c r="F51" t="s">
        <v>28</v>
      </c>
      <c r="G51">
        <v>9</v>
      </c>
      <c r="H51" t="s">
        <v>84</v>
      </c>
      <c r="I51" t="s">
        <v>15</v>
      </c>
      <c r="J51" t="s">
        <v>86</v>
      </c>
      <c r="K51" t="s">
        <v>117</v>
      </c>
      <c r="L51" s="16">
        <v>30</v>
      </c>
    </row>
    <row r="52" spans="1:12">
      <c r="A52">
        <v>16</v>
      </c>
      <c r="B52">
        <v>1</v>
      </c>
      <c r="C52" t="s">
        <v>87</v>
      </c>
      <c r="E52" t="s">
        <v>31</v>
      </c>
      <c r="F52" t="s">
        <v>32</v>
      </c>
      <c r="G52">
        <v>16</v>
      </c>
      <c r="H52" t="s">
        <v>67</v>
      </c>
      <c r="I52" t="s">
        <v>34</v>
      </c>
      <c r="J52" t="s">
        <v>56</v>
      </c>
      <c r="K52" t="s">
        <v>117</v>
      </c>
      <c r="L52" s="16">
        <v>1</v>
      </c>
    </row>
    <row r="53" spans="1:12">
      <c r="A53">
        <v>16</v>
      </c>
      <c r="B53">
        <v>1</v>
      </c>
      <c r="C53" t="s">
        <v>87</v>
      </c>
      <c r="E53" t="s">
        <v>38</v>
      </c>
      <c r="F53" t="s">
        <v>39</v>
      </c>
      <c r="G53">
        <v>1</v>
      </c>
      <c r="H53" t="s">
        <v>83</v>
      </c>
      <c r="I53" t="s">
        <v>34</v>
      </c>
      <c r="J53" t="s">
        <v>56</v>
      </c>
      <c r="K53" t="s">
        <v>117</v>
      </c>
      <c r="L53" s="16">
        <v>1</v>
      </c>
    </row>
    <row r="54" spans="1:12">
      <c r="A54">
        <v>16</v>
      </c>
      <c r="B54">
        <v>1</v>
      </c>
      <c r="C54" t="s">
        <v>87</v>
      </c>
      <c r="E54" t="s">
        <v>20</v>
      </c>
      <c r="F54" t="s">
        <v>21</v>
      </c>
      <c r="G54">
        <v>23</v>
      </c>
      <c r="H54" t="s">
        <v>67</v>
      </c>
      <c r="I54" t="s">
        <v>34</v>
      </c>
      <c r="J54" t="s">
        <v>56</v>
      </c>
      <c r="K54" t="s">
        <v>117</v>
      </c>
      <c r="L54" s="16">
        <v>1</v>
      </c>
    </row>
    <row r="55" spans="1:12">
      <c r="A55">
        <v>16</v>
      </c>
      <c r="B55">
        <v>1</v>
      </c>
      <c r="C55" t="s">
        <v>87</v>
      </c>
      <c r="E55" t="s">
        <v>59</v>
      </c>
      <c r="F55" t="s">
        <v>60</v>
      </c>
      <c r="G55">
        <v>4</v>
      </c>
      <c r="H55" t="s">
        <v>22</v>
      </c>
      <c r="I55" t="s">
        <v>34</v>
      </c>
      <c r="J55" t="s">
        <v>56</v>
      </c>
      <c r="K55" t="s">
        <v>117</v>
      </c>
      <c r="L55" s="16">
        <v>1</v>
      </c>
    </row>
    <row r="56" spans="1:12">
      <c r="A56">
        <v>16</v>
      </c>
      <c r="B56">
        <v>1</v>
      </c>
      <c r="C56" t="s">
        <v>87</v>
      </c>
      <c r="E56" t="s">
        <v>65</v>
      </c>
      <c r="F56" t="s">
        <v>66</v>
      </c>
      <c r="G56">
        <v>3</v>
      </c>
      <c r="H56" t="s">
        <v>37</v>
      </c>
      <c r="I56" t="s">
        <v>34</v>
      </c>
      <c r="J56" t="s">
        <v>56</v>
      </c>
      <c r="K56" t="s">
        <v>117</v>
      </c>
      <c r="L56" s="16">
        <v>1</v>
      </c>
    </row>
    <row r="57" spans="1:12">
      <c r="A57">
        <v>16</v>
      </c>
      <c r="B57">
        <v>1</v>
      </c>
      <c r="C57" t="s">
        <v>87</v>
      </c>
      <c r="E57" t="s">
        <v>57</v>
      </c>
      <c r="F57" t="s">
        <v>58</v>
      </c>
      <c r="G57">
        <v>4</v>
      </c>
      <c r="H57" t="s">
        <v>49</v>
      </c>
      <c r="I57" t="s">
        <v>34</v>
      </c>
      <c r="J57" t="s">
        <v>56</v>
      </c>
      <c r="K57" t="s">
        <v>117</v>
      </c>
      <c r="L57" s="16">
        <v>1</v>
      </c>
    </row>
    <row r="58" spans="1:12">
      <c r="A58">
        <v>16</v>
      </c>
      <c r="B58">
        <v>1</v>
      </c>
      <c r="C58" t="s">
        <v>87</v>
      </c>
      <c r="E58" t="s">
        <v>71</v>
      </c>
      <c r="F58" t="s">
        <v>72</v>
      </c>
      <c r="G58">
        <v>1</v>
      </c>
      <c r="H58" t="s">
        <v>37</v>
      </c>
      <c r="I58" t="s">
        <v>34</v>
      </c>
      <c r="J58" t="s">
        <v>56</v>
      </c>
      <c r="K58" t="s">
        <v>117</v>
      </c>
      <c r="L58" s="16">
        <v>1</v>
      </c>
    </row>
    <row r="59" spans="1:12">
      <c r="A59">
        <v>16</v>
      </c>
      <c r="B59">
        <v>1</v>
      </c>
      <c r="C59" t="s">
        <v>87</v>
      </c>
      <c r="E59" t="s">
        <v>76</v>
      </c>
      <c r="F59" t="s">
        <v>77</v>
      </c>
      <c r="G59">
        <v>2</v>
      </c>
      <c r="H59" t="s">
        <v>37</v>
      </c>
      <c r="I59" t="s">
        <v>34</v>
      </c>
      <c r="J59" t="s">
        <v>56</v>
      </c>
      <c r="K59" t="s">
        <v>316</v>
      </c>
      <c r="L59" s="16">
        <v>1</v>
      </c>
    </row>
    <row r="60" spans="1:12">
      <c r="A60">
        <v>16</v>
      </c>
      <c r="B60">
        <v>1</v>
      </c>
      <c r="C60" t="s">
        <v>87</v>
      </c>
      <c r="E60" t="s">
        <v>12</v>
      </c>
      <c r="F60" t="s">
        <v>13</v>
      </c>
      <c r="G60">
        <v>59</v>
      </c>
      <c r="H60" t="s">
        <v>90</v>
      </c>
      <c r="I60" t="s">
        <v>34</v>
      </c>
      <c r="J60" t="s">
        <v>91</v>
      </c>
      <c r="K60" t="s">
        <v>301</v>
      </c>
      <c r="L60" s="16">
        <v>1</v>
      </c>
    </row>
    <row r="61" spans="1:12">
      <c r="A61">
        <v>16</v>
      </c>
      <c r="B61">
        <v>1</v>
      </c>
      <c r="C61" t="s">
        <v>87</v>
      </c>
      <c r="E61" t="s">
        <v>57</v>
      </c>
      <c r="F61" t="s">
        <v>58</v>
      </c>
      <c r="G61">
        <v>1</v>
      </c>
      <c r="H61" t="s">
        <v>37</v>
      </c>
      <c r="I61" t="s">
        <v>34</v>
      </c>
      <c r="J61" t="s">
        <v>56</v>
      </c>
      <c r="K61" t="s">
        <v>301</v>
      </c>
      <c r="L61" s="16">
        <v>1</v>
      </c>
    </row>
    <row r="62" spans="1:12">
      <c r="A62">
        <v>16</v>
      </c>
      <c r="B62">
        <v>1</v>
      </c>
      <c r="C62" t="s">
        <v>87</v>
      </c>
      <c r="E62" t="s">
        <v>20</v>
      </c>
      <c r="F62" t="s">
        <v>21</v>
      </c>
      <c r="G62">
        <v>2</v>
      </c>
      <c r="H62" t="s">
        <v>37</v>
      </c>
      <c r="I62" t="s">
        <v>34</v>
      </c>
      <c r="J62" t="s">
        <v>56</v>
      </c>
      <c r="K62" t="s">
        <v>301</v>
      </c>
      <c r="L62" s="16">
        <v>1</v>
      </c>
    </row>
    <row r="63" spans="1:12">
      <c r="A63">
        <v>16</v>
      </c>
      <c r="B63">
        <v>1</v>
      </c>
      <c r="C63" t="s">
        <v>87</v>
      </c>
      <c r="E63" t="s">
        <v>31</v>
      </c>
      <c r="F63" t="s">
        <v>32</v>
      </c>
      <c r="G63">
        <v>3729</v>
      </c>
      <c r="H63" t="s">
        <v>322</v>
      </c>
      <c r="I63" t="s">
        <v>34</v>
      </c>
      <c r="J63" t="s">
        <v>56</v>
      </c>
      <c r="K63" t="s">
        <v>301</v>
      </c>
      <c r="L63" s="16">
        <v>1</v>
      </c>
    </row>
    <row r="64" spans="1:12">
      <c r="A64">
        <v>16</v>
      </c>
      <c r="B64">
        <v>1</v>
      </c>
      <c r="C64" t="s">
        <v>87</v>
      </c>
      <c r="E64" t="s">
        <v>59</v>
      </c>
      <c r="F64" t="s">
        <v>60</v>
      </c>
      <c r="G64">
        <v>1</v>
      </c>
      <c r="H64" t="s">
        <v>37</v>
      </c>
      <c r="I64" t="s">
        <v>34</v>
      </c>
      <c r="J64" t="s">
        <v>56</v>
      </c>
      <c r="K64" t="s">
        <v>301</v>
      </c>
      <c r="L64" s="16">
        <v>1</v>
      </c>
    </row>
    <row r="65" spans="1:12">
      <c r="A65">
        <v>17</v>
      </c>
      <c r="B65">
        <v>3</v>
      </c>
      <c r="C65" t="s">
        <v>92</v>
      </c>
      <c r="E65" t="s">
        <v>12</v>
      </c>
      <c r="F65" t="s">
        <v>13</v>
      </c>
      <c r="G65">
        <v>5</v>
      </c>
      <c r="H65" t="s">
        <v>93</v>
      </c>
      <c r="I65" t="s">
        <v>15</v>
      </c>
      <c r="J65" t="s">
        <v>94</v>
      </c>
      <c r="K65" t="s">
        <v>301</v>
      </c>
      <c r="L65" s="16">
        <v>30</v>
      </c>
    </row>
    <row r="66" spans="1:12">
      <c r="A66">
        <v>17</v>
      </c>
      <c r="B66">
        <v>3</v>
      </c>
      <c r="C66" t="s">
        <v>92</v>
      </c>
      <c r="E66" t="s">
        <v>38</v>
      </c>
      <c r="F66" t="s">
        <v>39</v>
      </c>
      <c r="G66">
        <v>1</v>
      </c>
      <c r="H66" t="s">
        <v>55</v>
      </c>
      <c r="I66" t="s">
        <v>15</v>
      </c>
      <c r="J66" t="s">
        <v>94</v>
      </c>
      <c r="K66" t="s">
        <v>301</v>
      </c>
      <c r="L66" s="16">
        <v>30</v>
      </c>
    </row>
    <row r="67" spans="1:12">
      <c r="A67">
        <v>17</v>
      </c>
      <c r="B67">
        <v>3</v>
      </c>
      <c r="C67" t="s">
        <v>92</v>
      </c>
      <c r="E67" t="s">
        <v>76</v>
      </c>
      <c r="F67" t="s">
        <v>77</v>
      </c>
      <c r="G67">
        <v>1</v>
      </c>
      <c r="H67" t="s">
        <v>37</v>
      </c>
      <c r="I67" t="s">
        <v>15</v>
      </c>
      <c r="J67" t="s">
        <v>94</v>
      </c>
      <c r="K67" t="s">
        <v>301</v>
      </c>
      <c r="L67" s="16">
        <v>30</v>
      </c>
    </row>
    <row r="68" spans="1:12">
      <c r="A68">
        <v>17</v>
      </c>
      <c r="B68">
        <v>3</v>
      </c>
      <c r="C68" t="s">
        <v>92</v>
      </c>
      <c r="E68" t="s">
        <v>65</v>
      </c>
      <c r="F68" t="s">
        <v>66</v>
      </c>
      <c r="G68">
        <v>4</v>
      </c>
      <c r="H68" t="s">
        <v>55</v>
      </c>
      <c r="I68" t="s">
        <v>15</v>
      </c>
      <c r="J68" t="s">
        <v>94</v>
      </c>
      <c r="K68" t="s">
        <v>301</v>
      </c>
      <c r="L68" s="16">
        <v>30</v>
      </c>
    </row>
    <row r="69" spans="1:12">
      <c r="A69">
        <v>17</v>
      </c>
      <c r="B69">
        <v>3</v>
      </c>
      <c r="C69" t="s">
        <v>92</v>
      </c>
      <c r="E69" t="s">
        <v>20</v>
      </c>
      <c r="F69" t="s">
        <v>21</v>
      </c>
      <c r="G69">
        <v>2</v>
      </c>
      <c r="H69" t="s">
        <v>37</v>
      </c>
      <c r="I69" t="s">
        <v>15</v>
      </c>
      <c r="J69" t="s">
        <v>94</v>
      </c>
      <c r="K69" t="s">
        <v>301</v>
      </c>
      <c r="L69" s="16">
        <v>30</v>
      </c>
    </row>
    <row r="70" spans="1:12">
      <c r="A70">
        <v>17</v>
      </c>
      <c r="B70">
        <v>3</v>
      </c>
      <c r="C70" t="s">
        <v>92</v>
      </c>
      <c r="E70" t="s">
        <v>57</v>
      </c>
      <c r="F70" t="s">
        <v>58</v>
      </c>
      <c r="G70">
        <v>2</v>
      </c>
      <c r="H70" t="s">
        <v>55</v>
      </c>
      <c r="I70" t="s">
        <v>15</v>
      </c>
      <c r="J70" t="s">
        <v>94</v>
      </c>
      <c r="K70" t="s">
        <v>301</v>
      </c>
      <c r="L70" s="16">
        <v>30</v>
      </c>
    </row>
    <row r="71" spans="1:12">
      <c r="A71">
        <v>17</v>
      </c>
      <c r="B71">
        <v>3</v>
      </c>
      <c r="C71" t="s">
        <v>92</v>
      </c>
      <c r="E71" t="s">
        <v>23</v>
      </c>
      <c r="F71" t="s">
        <v>24</v>
      </c>
      <c r="G71">
        <v>28</v>
      </c>
      <c r="H71" t="s">
        <v>95</v>
      </c>
      <c r="I71" t="s">
        <v>15</v>
      </c>
      <c r="J71" t="s">
        <v>96</v>
      </c>
      <c r="K71" t="s">
        <v>301</v>
      </c>
      <c r="L71" s="16">
        <v>30</v>
      </c>
    </row>
    <row r="72" spans="1:12">
      <c r="A72">
        <v>17</v>
      </c>
      <c r="B72">
        <v>3</v>
      </c>
      <c r="C72" t="s">
        <v>92</v>
      </c>
      <c r="E72" t="s">
        <v>27</v>
      </c>
      <c r="F72" t="s">
        <v>28</v>
      </c>
      <c r="G72">
        <v>693</v>
      </c>
      <c r="H72" t="s">
        <v>97</v>
      </c>
      <c r="I72" t="s">
        <v>15</v>
      </c>
      <c r="J72" t="s">
        <v>96</v>
      </c>
      <c r="K72" t="s">
        <v>301</v>
      </c>
      <c r="L72" s="16">
        <v>30</v>
      </c>
    </row>
    <row r="73" spans="1:12">
      <c r="A73">
        <v>17</v>
      </c>
      <c r="B73">
        <v>3</v>
      </c>
      <c r="C73" t="s">
        <v>92</v>
      </c>
      <c r="E73" t="s">
        <v>98</v>
      </c>
      <c r="F73" t="s">
        <v>99</v>
      </c>
      <c r="G73" t="s">
        <v>323</v>
      </c>
      <c r="H73" t="s">
        <v>37</v>
      </c>
      <c r="I73" t="s">
        <v>15</v>
      </c>
      <c r="J73" t="s">
        <v>94</v>
      </c>
      <c r="K73" t="s">
        <v>117</v>
      </c>
      <c r="L73" s="16">
        <v>30</v>
      </c>
    </row>
    <row r="74" spans="1:12">
      <c r="A74">
        <v>17</v>
      </c>
      <c r="B74">
        <v>3</v>
      </c>
      <c r="C74" t="s">
        <v>92</v>
      </c>
      <c r="E74" t="s">
        <v>65</v>
      </c>
      <c r="F74" t="s">
        <v>66</v>
      </c>
      <c r="G74">
        <v>4</v>
      </c>
      <c r="H74" t="s">
        <v>55</v>
      </c>
      <c r="I74" t="s">
        <v>34</v>
      </c>
      <c r="J74" t="s">
        <v>96</v>
      </c>
      <c r="K74" t="s">
        <v>117</v>
      </c>
      <c r="L74" s="16">
        <v>30</v>
      </c>
    </row>
    <row r="75" spans="1:12">
      <c r="A75">
        <v>17</v>
      </c>
      <c r="B75">
        <v>3</v>
      </c>
      <c r="C75" t="s">
        <v>92</v>
      </c>
      <c r="E75" t="s">
        <v>20</v>
      </c>
      <c r="F75" t="s">
        <v>21</v>
      </c>
      <c r="G75">
        <v>1</v>
      </c>
      <c r="H75" t="s">
        <v>37</v>
      </c>
      <c r="I75" t="s">
        <v>34</v>
      </c>
      <c r="J75" t="s">
        <v>96</v>
      </c>
      <c r="K75" t="s">
        <v>117</v>
      </c>
      <c r="L75" s="16">
        <v>30</v>
      </c>
    </row>
    <row r="76" spans="1:12">
      <c r="A76">
        <v>17</v>
      </c>
      <c r="B76">
        <v>3</v>
      </c>
      <c r="C76" t="s">
        <v>92</v>
      </c>
      <c r="E76" t="s">
        <v>27</v>
      </c>
      <c r="F76" t="s">
        <v>28</v>
      </c>
      <c r="G76">
        <v>1</v>
      </c>
      <c r="H76" t="s">
        <v>37</v>
      </c>
      <c r="I76" t="s">
        <v>34</v>
      </c>
      <c r="J76" t="s">
        <v>94</v>
      </c>
      <c r="K76" t="s">
        <v>117</v>
      </c>
      <c r="L76" s="16">
        <v>30</v>
      </c>
    </row>
    <row r="77" spans="1:12">
      <c r="A77">
        <v>17</v>
      </c>
      <c r="B77">
        <v>2</v>
      </c>
      <c r="C77" t="s">
        <v>100</v>
      </c>
      <c r="E77" t="s">
        <v>12</v>
      </c>
      <c r="F77" t="s">
        <v>13</v>
      </c>
      <c r="G77">
        <v>9</v>
      </c>
      <c r="H77" t="s">
        <v>101</v>
      </c>
      <c r="I77" t="s">
        <v>15</v>
      </c>
      <c r="J77" t="s">
        <v>324</v>
      </c>
      <c r="K77" t="s">
        <v>301</v>
      </c>
      <c r="L77" s="16">
        <v>30</v>
      </c>
    </row>
    <row r="78" spans="1:12">
      <c r="A78">
        <v>17</v>
      </c>
      <c r="B78">
        <v>2</v>
      </c>
      <c r="C78" t="s">
        <v>100</v>
      </c>
      <c r="E78" t="s">
        <v>57</v>
      </c>
      <c r="F78" t="s">
        <v>58</v>
      </c>
      <c r="G78">
        <v>1</v>
      </c>
      <c r="H78" t="s">
        <v>55</v>
      </c>
      <c r="I78" t="s">
        <v>15</v>
      </c>
      <c r="J78" t="s">
        <v>324</v>
      </c>
      <c r="K78" t="s">
        <v>301</v>
      </c>
      <c r="L78" s="16">
        <v>30</v>
      </c>
    </row>
    <row r="79" spans="1:12">
      <c r="A79">
        <v>17</v>
      </c>
      <c r="B79">
        <v>2</v>
      </c>
      <c r="C79" t="s">
        <v>100</v>
      </c>
      <c r="E79" t="s">
        <v>65</v>
      </c>
      <c r="F79" t="s">
        <v>66</v>
      </c>
      <c r="G79">
        <v>4</v>
      </c>
      <c r="H79" t="s">
        <v>83</v>
      </c>
      <c r="I79" t="s">
        <v>15</v>
      </c>
      <c r="J79" t="s">
        <v>324</v>
      </c>
      <c r="K79" t="s">
        <v>301</v>
      </c>
      <c r="L79" s="16">
        <v>30</v>
      </c>
    </row>
    <row r="80" spans="1:12">
      <c r="A80">
        <v>17</v>
      </c>
      <c r="B80">
        <v>2</v>
      </c>
      <c r="C80" t="s">
        <v>100</v>
      </c>
      <c r="E80" t="s">
        <v>20</v>
      </c>
      <c r="F80" t="s">
        <v>21</v>
      </c>
      <c r="G80">
        <v>1</v>
      </c>
      <c r="H80" t="s">
        <v>55</v>
      </c>
      <c r="I80" t="s">
        <v>15</v>
      </c>
      <c r="J80" t="s">
        <v>324</v>
      </c>
      <c r="K80" t="s">
        <v>301</v>
      </c>
      <c r="L80" s="16">
        <v>30</v>
      </c>
    </row>
    <row r="81" spans="1:12">
      <c r="A81">
        <v>17</v>
      </c>
      <c r="B81">
        <v>2</v>
      </c>
      <c r="C81" t="s">
        <v>100</v>
      </c>
      <c r="E81" t="s">
        <v>27</v>
      </c>
      <c r="F81" t="s">
        <v>28</v>
      </c>
      <c r="G81">
        <v>797</v>
      </c>
      <c r="H81" t="s">
        <v>102</v>
      </c>
      <c r="I81" t="s">
        <v>15</v>
      </c>
      <c r="J81" t="s">
        <v>324</v>
      </c>
      <c r="K81" t="s">
        <v>301</v>
      </c>
      <c r="L81" s="16">
        <v>30</v>
      </c>
    </row>
    <row r="82" spans="1:12">
      <c r="A82">
        <v>17</v>
      </c>
      <c r="B82">
        <v>2</v>
      </c>
      <c r="C82" t="s">
        <v>100</v>
      </c>
      <c r="E82" t="s">
        <v>23</v>
      </c>
      <c r="F82" t="s">
        <v>24</v>
      </c>
      <c r="G82">
        <v>60</v>
      </c>
      <c r="H82" t="s">
        <v>103</v>
      </c>
      <c r="I82" t="s">
        <v>15</v>
      </c>
      <c r="J82" t="s">
        <v>324</v>
      </c>
      <c r="K82" t="s">
        <v>301</v>
      </c>
      <c r="L82" s="16">
        <v>30</v>
      </c>
    </row>
    <row r="83" spans="1:12">
      <c r="A83">
        <v>17</v>
      </c>
      <c r="B83">
        <v>2</v>
      </c>
      <c r="C83" t="s">
        <v>100</v>
      </c>
      <c r="E83" t="s">
        <v>59</v>
      </c>
      <c r="F83" t="s">
        <v>60</v>
      </c>
      <c r="G83">
        <v>6</v>
      </c>
      <c r="H83" t="s">
        <v>83</v>
      </c>
      <c r="I83" t="s">
        <v>15</v>
      </c>
      <c r="J83" t="s">
        <v>325</v>
      </c>
      <c r="K83" t="s">
        <v>117</v>
      </c>
      <c r="L83" s="16">
        <v>30</v>
      </c>
    </row>
    <row r="84" spans="1:12">
      <c r="A84">
        <v>17</v>
      </c>
      <c r="B84">
        <v>2</v>
      </c>
      <c r="C84" t="s">
        <v>100</v>
      </c>
      <c r="E84" t="s">
        <v>12</v>
      </c>
      <c r="F84" t="s">
        <v>13</v>
      </c>
      <c r="G84">
        <v>1</v>
      </c>
      <c r="H84" t="s">
        <v>49</v>
      </c>
      <c r="I84" t="s">
        <v>15</v>
      </c>
      <c r="J84" t="s">
        <v>325</v>
      </c>
      <c r="K84" t="s">
        <v>117</v>
      </c>
      <c r="L84" s="16">
        <v>30</v>
      </c>
    </row>
    <row r="85" spans="1:12">
      <c r="A85">
        <v>17</v>
      </c>
      <c r="B85">
        <v>2</v>
      </c>
      <c r="C85" t="s">
        <v>100</v>
      </c>
      <c r="E85" t="s">
        <v>20</v>
      </c>
      <c r="F85" t="s">
        <v>21</v>
      </c>
      <c r="G85">
        <v>9</v>
      </c>
      <c r="H85" t="s">
        <v>88</v>
      </c>
      <c r="I85" t="s">
        <v>15</v>
      </c>
      <c r="J85" t="s">
        <v>325</v>
      </c>
      <c r="K85" t="s">
        <v>117</v>
      </c>
      <c r="L85" s="16">
        <v>30</v>
      </c>
    </row>
    <row r="86" spans="1:12">
      <c r="A86">
        <v>17</v>
      </c>
      <c r="B86">
        <v>2</v>
      </c>
      <c r="C86" t="s">
        <v>100</v>
      </c>
      <c r="E86" t="s">
        <v>31</v>
      </c>
      <c r="G86">
        <v>16</v>
      </c>
      <c r="H86" t="s">
        <v>89</v>
      </c>
      <c r="I86" t="s">
        <v>15</v>
      </c>
      <c r="J86" t="s">
        <v>325</v>
      </c>
      <c r="K86" t="s">
        <v>117</v>
      </c>
      <c r="L86" s="16">
        <v>30</v>
      </c>
    </row>
    <row r="87" spans="1:12">
      <c r="A87">
        <v>17</v>
      </c>
      <c r="B87">
        <v>2</v>
      </c>
      <c r="C87" t="s">
        <v>100</v>
      </c>
      <c r="E87" t="s">
        <v>57</v>
      </c>
      <c r="F87" t="s">
        <v>58</v>
      </c>
      <c r="G87">
        <v>1</v>
      </c>
      <c r="H87" t="s">
        <v>55</v>
      </c>
      <c r="I87" t="s">
        <v>15</v>
      </c>
      <c r="J87" t="s">
        <v>325</v>
      </c>
      <c r="K87" t="s">
        <v>117</v>
      </c>
      <c r="L87" s="16">
        <v>30</v>
      </c>
    </row>
    <row r="88" spans="1:12">
      <c r="A88">
        <v>17</v>
      </c>
      <c r="B88">
        <v>2</v>
      </c>
      <c r="C88" t="s">
        <v>100</v>
      </c>
      <c r="E88" t="s">
        <v>38</v>
      </c>
      <c r="G88">
        <v>1</v>
      </c>
      <c r="H88" t="s">
        <v>49</v>
      </c>
      <c r="I88" t="s">
        <v>15</v>
      </c>
      <c r="J88" t="s">
        <v>325</v>
      </c>
      <c r="K88" t="s">
        <v>117</v>
      </c>
      <c r="L88" s="16">
        <v>30</v>
      </c>
    </row>
    <row r="89" spans="1:12">
      <c r="A89">
        <v>17</v>
      </c>
      <c r="B89">
        <v>2</v>
      </c>
      <c r="C89" t="s">
        <v>100</v>
      </c>
      <c r="E89" t="s">
        <v>123</v>
      </c>
      <c r="G89">
        <v>1</v>
      </c>
      <c r="H89" t="s">
        <v>55</v>
      </c>
      <c r="I89" t="s">
        <v>15</v>
      </c>
      <c r="J89" t="s">
        <v>325</v>
      </c>
      <c r="K89" t="s">
        <v>117</v>
      </c>
      <c r="L89" s="16">
        <v>30</v>
      </c>
    </row>
    <row r="90" spans="1:12">
      <c r="A90">
        <v>18</v>
      </c>
      <c r="B90">
        <v>3</v>
      </c>
      <c r="C90" t="s">
        <v>104</v>
      </c>
      <c r="E90" t="s">
        <v>12</v>
      </c>
      <c r="F90" t="s">
        <v>13</v>
      </c>
      <c r="G90">
        <v>8</v>
      </c>
      <c r="H90" t="s">
        <v>328</v>
      </c>
      <c r="I90" t="s">
        <v>15</v>
      </c>
      <c r="J90" t="s">
        <v>327</v>
      </c>
      <c r="K90" t="s">
        <v>301</v>
      </c>
      <c r="L90" s="16">
        <v>30</v>
      </c>
    </row>
    <row r="91" spans="1:12">
      <c r="A91">
        <v>18</v>
      </c>
      <c r="B91">
        <v>3</v>
      </c>
      <c r="C91" t="s">
        <v>104</v>
      </c>
      <c r="E91" t="s">
        <v>106</v>
      </c>
      <c r="F91" t="s">
        <v>107</v>
      </c>
      <c r="G91">
        <v>1</v>
      </c>
      <c r="H91" t="s">
        <v>108</v>
      </c>
      <c r="I91" t="s">
        <v>15</v>
      </c>
      <c r="J91" t="s">
        <v>105</v>
      </c>
      <c r="K91" t="s">
        <v>301</v>
      </c>
      <c r="L91" s="16">
        <v>30</v>
      </c>
    </row>
    <row r="92" spans="1:12">
      <c r="A92">
        <v>18</v>
      </c>
      <c r="B92">
        <v>3</v>
      </c>
      <c r="C92" t="s">
        <v>104</v>
      </c>
      <c r="E92" t="s">
        <v>76</v>
      </c>
      <c r="F92" t="s">
        <v>77</v>
      </c>
      <c r="G92">
        <v>2</v>
      </c>
      <c r="H92" t="s">
        <v>108</v>
      </c>
      <c r="I92" t="s">
        <v>15</v>
      </c>
      <c r="J92" t="s">
        <v>105</v>
      </c>
      <c r="K92" t="s">
        <v>301</v>
      </c>
      <c r="L92" s="16">
        <v>30</v>
      </c>
    </row>
    <row r="93" spans="1:12">
      <c r="A93">
        <v>18</v>
      </c>
      <c r="B93">
        <v>3</v>
      </c>
      <c r="C93" t="s">
        <v>104</v>
      </c>
      <c r="E93" t="s">
        <v>38</v>
      </c>
      <c r="F93" t="s">
        <v>39</v>
      </c>
      <c r="G93">
        <v>1</v>
      </c>
      <c r="H93" t="s">
        <v>55</v>
      </c>
      <c r="I93" t="s">
        <v>15</v>
      </c>
      <c r="J93" t="s">
        <v>105</v>
      </c>
      <c r="K93" t="s">
        <v>301</v>
      </c>
      <c r="L93" s="16">
        <v>30</v>
      </c>
    </row>
    <row r="94" spans="1:12">
      <c r="A94">
        <v>18</v>
      </c>
      <c r="B94">
        <v>3</v>
      </c>
      <c r="C94" t="s">
        <v>104</v>
      </c>
      <c r="E94" t="s">
        <v>65</v>
      </c>
      <c r="F94" t="s">
        <v>66</v>
      </c>
      <c r="G94">
        <v>5</v>
      </c>
      <c r="H94" t="s">
        <v>49</v>
      </c>
      <c r="I94" t="s">
        <v>15</v>
      </c>
      <c r="J94" t="s">
        <v>105</v>
      </c>
      <c r="K94" t="s">
        <v>301</v>
      </c>
      <c r="L94" s="16">
        <v>30</v>
      </c>
    </row>
    <row r="95" spans="1:12">
      <c r="A95">
        <v>18</v>
      </c>
      <c r="B95">
        <v>3</v>
      </c>
      <c r="C95" t="s">
        <v>104</v>
      </c>
      <c r="E95" t="s">
        <v>23</v>
      </c>
      <c r="F95" t="s">
        <v>24</v>
      </c>
      <c r="G95">
        <v>29</v>
      </c>
      <c r="H95" t="s">
        <v>109</v>
      </c>
      <c r="I95" t="s">
        <v>15</v>
      </c>
      <c r="J95" t="s">
        <v>110</v>
      </c>
      <c r="K95" t="s">
        <v>316</v>
      </c>
      <c r="L95" s="16">
        <v>30</v>
      </c>
    </row>
    <row r="96" spans="1:12">
      <c r="A96">
        <v>18</v>
      </c>
      <c r="B96">
        <v>3</v>
      </c>
      <c r="C96" t="s">
        <v>104</v>
      </c>
      <c r="E96" t="s">
        <v>27</v>
      </c>
      <c r="F96" t="s">
        <v>28</v>
      </c>
      <c r="G96">
        <v>1558</v>
      </c>
      <c r="H96" t="s">
        <v>111</v>
      </c>
      <c r="I96" t="s">
        <v>15</v>
      </c>
      <c r="J96" t="s">
        <v>110</v>
      </c>
      <c r="K96" t="s">
        <v>301</v>
      </c>
      <c r="L96" s="16">
        <v>30</v>
      </c>
    </row>
    <row r="97" spans="1:12">
      <c r="A97">
        <v>18</v>
      </c>
      <c r="B97">
        <v>3</v>
      </c>
      <c r="C97" t="s">
        <v>104</v>
      </c>
      <c r="E97" t="s">
        <v>31</v>
      </c>
      <c r="F97" t="s">
        <v>32</v>
      </c>
      <c r="G97">
        <v>10</v>
      </c>
      <c r="H97" t="s">
        <v>22</v>
      </c>
      <c r="I97" t="s">
        <v>34</v>
      </c>
      <c r="J97" t="s">
        <v>326</v>
      </c>
      <c r="K97" t="s">
        <v>117</v>
      </c>
      <c r="L97" s="16">
        <v>30</v>
      </c>
    </row>
    <row r="98" spans="1:12">
      <c r="A98">
        <v>18</v>
      </c>
      <c r="B98">
        <v>3</v>
      </c>
      <c r="C98" t="s">
        <v>104</v>
      </c>
      <c r="E98" t="s">
        <v>20</v>
      </c>
      <c r="F98" t="s">
        <v>21</v>
      </c>
      <c r="G98">
        <v>6</v>
      </c>
      <c r="H98" t="s">
        <v>22</v>
      </c>
      <c r="I98" t="s">
        <v>34</v>
      </c>
      <c r="J98" t="s">
        <v>326</v>
      </c>
      <c r="K98" t="s">
        <v>117</v>
      </c>
      <c r="L98" s="16">
        <v>30</v>
      </c>
    </row>
    <row r="99" spans="1:12">
      <c r="A99">
        <v>18</v>
      </c>
      <c r="B99">
        <v>3</v>
      </c>
      <c r="C99" t="s">
        <v>104</v>
      </c>
      <c r="E99" t="s">
        <v>12</v>
      </c>
      <c r="F99" t="s">
        <v>13</v>
      </c>
      <c r="G99">
        <v>2</v>
      </c>
      <c r="H99" t="s">
        <v>49</v>
      </c>
      <c r="I99" t="s">
        <v>34</v>
      </c>
      <c r="J99" t="s">
        <v>326</v>
      </c>
      <c r="K99" t="s">
        <v>117</v>
      </c>
      <c r="L99" s="16">
        <v>30</v>
      </c>
    </row>
    <row r="100" spans="1:12">
      <c r="A100">
        <v>18</v>
      </c>
      <c r="B100">
        <v>3</v>
      </c>
      <c r="C100" t="s">
        <v>104</v>
      </c>
      <c r="E100" t="s">
        <v>76</v>
      </c>
      <c r="F100" t="s">
        <v>77</v>
      </c>
      <c r="G100">
        <v>2</v>
      </c>
      <c r="H100" t="s">
        <v>55</v>
      </c>
      <c r="I100" t="s">
        <v>34</v>
      </c>
      <c r="J100" t="s">
        <v>326</v>
      </c>
      <c r="K100" t="s">
        <v>117</v>
      </c>
      <c r="L100" s="16">
        <v>30</v>
      </c>
    </row>
    <row r="101" spans="1:12">
      <c r="A101">
        <v>18</v>
      </c>
      <c r="B101">
        <v>3</v>
      </c>
      <c r="C101" t="s">
        <v>104</v>
      </c>
      <c r="E101" t="s">
        <v>65</v>
      </c>
      <c r="F101" t="s">
        <v>66</v>
      </c>
      <c r="G101">
        <v>10</v>
      </c>
      <c r="H101" t="s">
        <v>22</v>
      </c>
      <c r="I101" t="s">
        <v>34</v>
      </c>
      <c r="J101" t="s">
        <v>326</v>
      </c>
      <c r="K101" t="s">
        <v>117</v>
      </c>
      <c r="L101" s="16">
        <v>30</v>
      </c>
    </row>
    <row r="102" spans="1:12">
      <c r="A102">
        <v>18</v>
      </c>
      <c r="B102">
        <v>3</v>
      </c>
      <c r="C102" t="s">
        <v>104</v>
      </c>
      <c r="E102" t="s">
        <v>38</v>
      </c>
      <c r="F102" t="s">
        <v>39</v>
      </c>
      <c r="G102">
        <v>3</v>
      </c>
      <c r="H102" t="s">
        <v>49</v>
      </c>
      <c r="I102" t="s">
        <v>34</v>
      </c>
      <c r="J102" t="s">
        <v>326</v>
      </c>
      <c r="K102" t="s">
        <v>117</v>
      </c>
      <c r="L102" s="16">
        <v>30</v>
      </c>
    </row>
    <row r="103" spans="1:12">
      <c r="A103">
        <v>18</v>
      </c>
      <c r="B103">
        <v>2</v>
      </c>
      <c r="C103" t="s">
        <v>112</v>
      </c>
      <c r="E103" t="s">
        <v>12</v>
      </c>
      <c r="F103" t="s">
        <v>13</v>
      </c>
      <c r="G103">
        <v>12</v>
      </c>
      <c r="H103" t="s">
        <v>113</v>
      </c>
      <c r="I103" t="s">
        <v>15</v>
      </c>
      <c r="J103" t="s">
        <v>329</v>
      </c>
      <c r="K103" t="s">
        <v>301</v>
      </c>
      <c r="L103" s="16">
        <v>30</v>
      </c>
    </row>
    <row r="104" spans="1:12">
      <c r="A104">
        <v>18</v>
      </c>
      <c r="B104">
        <v>2</v>
      </c>
      <c r="C104" t="s">
        <v>112</v>
      </c>
      <c r="E104" t="s">
        <v>38</v>
      </c>
      <c r="F104" t="s">
        <v>39</v>
      </c>
      <c r="G104">
        <v>1</v>
      </c>
      <c r="H104" t="s">
        <v>49</v>
      </c>
      <c r="I104" t="s">
        <v>15</v>
      </c>
      <c r="J104" t="s">
        <v>329</v>
      </c>
      <c r="K104" t="s">
        <v>301</v>
      </c>
      <c r="L104" s="16">
        <v>30</v>
      </c>
    </row>
    <row r="105" spans="1:12">
      <c r="A105">
        <v>18</v>
      </c>
      <c r="B105">
        <v>2</v>
      </c>
      <c r="C105" t="s">
        <v>112</v>
      </c>
      <c r="E105" t="s">
        <v>65</v>
      </c>
      <c r="F105" t="s">
        <v>66</v>
      </c>
      <c r="G105">
        <v>10</v>
      </c>
      <c r="H105" t="s">
        <v>22</v>
      </c>
      <c r="I105" t="s">
        <v>15</v>
      </c>
      <c r="J105" t="s">
        <v>329</v>
      </c>
      <c r="K105" t="s">
        <v>301</v>
      </c>
      <c r="L105" s="16">
        <v>30</v>
      </c>
    </row>
    <row r="106" spans="1:12">
      <c r="A106">
        <v>18</v>
      </c>
      <c r="B106">
        <v>2</v>
      </c>
      <c r="C106" t="s">
        <v>112</v>
      </c>
      <c r="E106" t="s">
        <v>20</v>
      </c>
      <c r="F106" t="s">
        <v>21</v>
      </c>
      <c r="G106">
        <v>3</v>
      </c>
      <c r="H106" t="s">
        <v>49</v>
      </c>
      <c r="I106" t="s">
        <v>15</v>
      </c>
      <c r="J106" t="s">
        <v>329</v>
      </c>
      <c r="K106" t="s">
        <v>301</v>
      </c>
      <c r="L106" s="16">
        <v>30</v>
      </c>
    </row>
    <row r="107" spans="1:12">
      <c r="A107">
        <v>18</v>
      </c>
      <c r="B107">
        <v>2</v>
      </c>
      <c r="C107" t="s">
        <v>112</v>
      </c>
      <c r="E107" t="s">
        <v>23</v>
      </c>
      <c r="F107" t="s">
        <v>24</v>
      </c>
      <c r="G107">
        <v>41</v>
      </c>
      <c r="H107" t="s">
        <v>115</v>
      </c>
      <c r="I107" t="s">
        <v>15</v>
      </c>
      <c r="J107" t="s">
        <v>329</v>
      </c>
      <c r="K107" t="s">
        <v>301</v>
      </c>
      <c r="L107" s="16">
        <v>30</v>
      </c>
    </row>
    <row r="108" spans="1:12">
      <c r="A108">
        <v>18</v>
      </c>
      <c r="B108">
        <v>2</v>
      </c>
      <c r="C108" t="s">
        <v>112</v>
      </c>
      <c r="E108" t="s">
        <v>27</v>
      </c>
      <c r="F108" t="s">
        <v>28</v>
      </c>
      <c r="G108">
        <v>767</v>
      </c>
      <c r="H108" t="s">
        <v>116</v>
      </c>
      <c r="I108" t="s">
        <v>15</v>
      </c>
      <c r="J108" t="s">
        <v>329</v>
      </c>
      <c r="K108" t="s">
        <v>301</v>
      </c>
      <c r="L108" s="16">
        <v>30</v>
      </c>
    </row>
    <row r="109" spans="1:12">
      <c r="A109">
        <v>18</v>
      </c>
      <c r="B109">
        <v>2</v>
      </c>
      <c r="C109" t="s">
        <v>112</v>
      </c>
      <c r="E109" t="s">
        <v>76</v>
      </c>
      <c r="F109" t="s">
        <v>77</v>
      </c>
      <c r="G109">
        <v>1</v>
      </c>
      <c r="H109" t="s">
        <v>55</v>
      </c>
      <c r="I109" t="s">
        <v>34</v>
      </c>
      <c r="J109" t="s">
        <v>326</v>
      </c>
      <c r="K109" t="s">
        <v>117</v>
      </c>
      <c r="L109" s="16">
        <v>30</v>
      </c>
    </row>
    <row r="110" spans="1:12">
      <c r="A110">
        <v>18</v>
      </c>
      <c r="B110">
        <v>2</v>
      </c>
      <c r="C110" t="s">
        <v>112</v>
      </c>
      <c r="E110" t="s">
        <v>31</v>
      </c>
      <c r="F110" t="s">
        <v>32</v>
      </c>
      <c r="G110">
        <v>11</v>
      </c>
      <c r="H110" t="s">
        <v>22</v>
      </c>
      <c r="I110" t="s">
        <v>34</v>
      </c>
      <c r="J110" t="s">
        <v>326</v>
      </c>
      <c r="K110" t="s">
        <v>117</v>
      </c>
      <c r="L110" s="16">
        <v>30</v>
      </c>
    </row>
    <row r="111" spans="1:12">
      <c r="A111">
        <v>18</v>
      </c>
      <c r="B111">
        <v>2</v>
      </c>
      <c r="C111" t="s">
        <v>112</v>
      </c>
      <c r="E111" t="s">
        <v>38</v>
      </c>
      <c r="F111" t="s">
        <v>39</v>
      </c>
      <c r="G111">
        <v>1</v>
      </c>
      <c r="H111" t="s">
        <v>55</v>
      </c>
      <c r="I111" t="s">
        <v>34</v>
      </c>
      <c r="J111" t="s">
        <v>326</v>
      </c>
      <c r="K111" t="s">
        <v>117</v>
      </c>
      <c r="L111" s="16">
        <v>30</v>
      </c>
    </row>
    <row r="112" spans="1:12">
      <c r="A112">
        <v>18</v>
      </c>
      <c r="B112">
        <v>2</v>
      </c>
      <c r="C112" t="s">
        <v>112</v>
      </c>
      <c r="E112" t="s">
        <v>20</v>
      </c>
      <c r="F112" t="s">
        <v>21</v>
      </c>
      <c r="G112">
        <v>3</v>
      </c>
      <c r="H112" t="s">
        <v>49</v>
      </c>
      <c r="I112" t="s">
        <v>34</v>
      </c>
      <c r="J112" t="s">
        <v>326</v>
      </c>
      <c r="K112" t="s">
        <v>117</v>
      </c>
      <c r="L112" s="16">
        <v>30</v>
      </c>
    </row>
    <row r="113" spans="1:12">
      <c r="A113">
        <v>19</v>
      </c>
      <c r="B113">
        <v>1</v>
      </c>
      <c r="C113" t="s">
        <v>118</v>
      </c>
      <c r="E113" t="s">
        <v>35</v>
      </c>
      <c r="F113" t="s">
        <v>36</v>
      </c>
      <c r="G113">
        <v>1</v>
      </c>
      <c r="H113" t="s">
        <v>55</v>
      </c>
      <c r="I113" t="s">
        <v>34</v>
      </c>
      <c r="J113" t="s">
        <v>53</v>
      </c>
      <c r="K113" t="s">
        <v>117</v>
      </c>
      <c r="L113" s="16">
        <v>1</v>
      </c>
    </row>
    <row r="114" spans="1:12">
      <c r="A114">
        <v>19</v>
      </c>
      <c r="B114">
        <v>1</v>
      </c>
      <c r="C114" t="s">
        <v>118</v>
      </c>
      <c r="E114" t="s">
        <v>20</v>
      </c>
      <c r="F114" t="s">
        <v>21</v>
      </c>
      <c r="G114">
        <v>88</v>
      </c>
      <c r="H114" t="s">
        <v>33</v>
      </c>
      <c r="I114" t="s">
        <v>34</v>
      </c>
      <c r="J114" t="s">
        <v>53</v>
      </c>
      <c r="K114" t="s">
        <v>117</v>
      </c>
      <c r="L114" s="16">
        <v>1</v>
      </c>
    </row>
    <row r="115" spans="1:12">
      <c r="A115">
        <v>19</v>
      </c>
      <c r="B115">
        <v>1</v>
      </c>
      <c r="C115" t="s">
        <v>118</v>
      </c>
      <c r="E115" t="s">
        <v>119</v>
      </c>
      <c r="F115" t="s">
        <v>120</v>
      </c>
      <c r="G115">
        <v>28</v>
      </c>
      <c r="H115" t="s">
        <v>22</v>
      </c>
      <c r="I115" t="s">
        <v>34</v>
      </c>
      <c r="J115" t="s">
        <v>53</v>
      </c>
      <c r="K115" t="s">
        <v>117</v>
      </c>
      <c r="L115" s="16">
        <v>1</v>
      </c>
    </row>
    <row r="116" spans="1:12">
      <c r="A116">
        <v>19</v>
      </c>
      <c r="B116">
        <v>1</v>
      </c>
      <c r="C116" t="s">
        <v>118</v>
      </c>
      <c r="E116" t="s">
        <v>43</v>
      </c>
      <c r="F116" t="s">
        <v>44</v>
      </c>
      <c r="G116">
        <v>4</v>
      </c>
      <c r="H116" t="s">
        <v>121</v>
      </c>
      <c r="I116" t="s">
        <v>34</v>
      </c>
      <c r="J116" t="s">
        <v>53</v>
      </c>
      <c r="K116" t="s">
        <v>117</v>
      </c>
      <c r="L116" s="16">
        <v>1</v>
      </c>
    </row>
    <row r="117" spans="1:12">
      <c r="A117">
        <v>19</v>
      </c>
      <c r="B117">
        <v>1</v>
      </c>
      <c r="C117" t="s">
        <v>118</v>
      </c>
      <c r="E117" t="s">
        <v>31</v>
      </c>
      <c r="F117" t="s">
        <v>32</v>
      </c>
      <c r="G117">
        <v>6</v>
      </c>
      <c r="H117" t="s">
        <v>37</v>
      </c>
      <c r="I117" t="s">
        <v>34</v>
      </c>
      <c r="J117" t="s">
        <v>53</v>
      </c>
      <c r="K117" t="s">
        <v>117</v>
      </c>
      <c r="L117" s="16">
        <v>1</v>
      </c>
    </row>
    <row r="118" spans="1:12">
      <c r="A118">
        <v>19</v>
      </c>
      <c r="B118">
        <v>1</v>
      </c>
      <c r="C118" t="s">
        <v>118</v>
      </c>
      <c r="E118" t="s">
        <v>12</v>
      </c>
      <c r="F118" t="s">
        <v>13</v>
      </c>
      <c r="G118">
        <v>88</v>
      </c>
      <c r="H118" t="s">
        <v>122</v>
      </c>
      <c r="I118" t="s">
        <v>34</v>
      </c>
      <c r="J118" t="s">
        <v>53</v>
      </c>
      <c r="K118" t="s">
        <v>117</v>
      </c>
      <c r="L118" s="16">
        <v>1</v>
      </c>
    </row>
    <row r="119" spans="1:12">
      <c r="A119">
        <v>19</v>
      </c>
      <c r="B119">
        <v>1</v>
      </c>
      <c r="C119" t="s">
        <v>118</v>
      </c>
      <c r="E119" t="s">
        <v>57</v>
      </c>
      <c r="F119" t="s">
        <v>58</v>
      </c>
      <c r="G119">
        <v>3</v>
      </c>
      <c r="H119" t="s">
        <v>49</v>
      </c>
      <c r="I119" t="s">
        <v>34</v>
      </c>
      <c r="J119" t="s">
        <v>56</v>
      </c>
      <c r="K119" t="s">
        <v>117</v>
      </c>
      <c r="L119" s="16">
        <v>1</v>
      </c>
    </row>
    <row r="120" spans="1:12">
      <c r="A120">
        <v>19</v>
      </c>
      <c r="B120">
        <v>1</v>
      </c>
      <c r="C120" t="s">
        <v>118</v>
      </c>
      <c r="E120" t="s">
        <v>65</v>
      </c>
      <c r="F120" t="s">
        <v>66</v>
      </c>
      <c r="G120">
        <v>6</v>
      </c>
      <c r="H120" t="s">
        <v>49</v>
      </c>
      <c r="I120" t="s">
        <v>34</v>
      </c>
      <c r="J120" t="s">
        <v>56</v>
      </c>
      <c r="K120" t="s">
        <v>117</v>
      </c>
      <c r="L120" s="16">
        <v>1</v>
      </c>
    </row>
    <row r="121" spans="1:12">
      <c r="A121">
        <v>19</v>
      </c>
      <c r="B121">
        <v>1</v>
      </c>
      <c r="C121" t="s">
        <v>118</v>
      </c>
      <c r="E121" t="s">
        <v>38</v>
      </c>
      <c r="F121" t="s">
        <v>39</v>
      </c>
      <c r="G121">
        <v>2</v>
      </c>
      <c r="H121" t="s">
        <v>22</v>
      </c>
      <c r="I121" t="s">
        <v>34</v>
      </c>
      <c r="J121" t="s">
        <v>56</v>
      </c>
      <c r="K121" t="s">
        <v>117</v>
      </c>
      <c r="L121" s="16">
        <v>1</v>
      </c>
    </row>
    <row r="122" spans="1:12">
      <c r="A122">
        <v>19</v>
      </c>
      <c r="B122">
        <v>1</v>
      </c>
      <c r="C122" t="s">
        <v>118</v>
      </c>
      <c r="E122" t="s">
        <v>76</v>
      </c>
      <c r="F122" t="s">
        <v>77</v>
      </c>
      <c r="G122">
        <v>1</v>
      </c>
      <c r="H122" t="s">
        <v>37</v>
      </c>
      <c r="I122" t="s">
        <v>34</v>
      </c>
      <c r="J122" t="s">
        <v>56</v>
      </c>
      <c r="K122" t="s">
        <v>117</v>
      </c>
      <c r="L122" s="16">
        <v>1</v>
      </c>
    </row>
    <row r="123" spans="1:12">
      <c r="A123">
        <v>19</v>
      </c>
      <c r="B123">
        <v>1</v>
      </c>
      <c r="C123" t="s">
        <v>118</v>
      </c>
      <c r="E123" t="s">
        <v>74</v>
      </c>
      <c r="F123" t="s">
        <v>75</v>
      </c>
      <c r="G123">
        <v>1</v>
      </c>
      <c r="H123" t="s">
        <v>37</v>
      </c>
      <c r="I123" t="s">
        <v>34</v>
      </c>
      <c r="J123" t="s">
        <v>56</v>
      </c>
      <c r="K123" t="s">
        <v>117</v>
      </c>
      <c r="L123" s="16">
        <v>1</v>
      </c>
    </row>
    <row r="124" spans="1:12">
      <c r="A124">
        <v>19</v>
      </c>
      <c r="B124">
        <v>1</v>
      </c>
      <c r="C124" t="s">
        <v>118</v>
      </c>
      <c r="E124" t="s">
        <v>123</v>
      </c>
      <c r="F124" t="s">
        <v>32</v>
      </c>
      <c r="G124">
        <v>1</v>
      </c>
      <c r="H124" t="s">
        <v>37</v>
      </c>
      <c r="I124" t="s">
        <v>34</v>
      </c>
      <c r="J124" t="s">
        <v>56</v>
      </c>
      <c r="K124" t="s">
        <v>117</v>
      </c>
      <c r="L124" s="16">
        <v>1</v>
      </c>
    </row>
    <row r="125" spans="1:12">
      <c r="A125">
        <v>19</v>
      </c>
      <c r="B125">
        <v>3</v>
      </c>
      <c r="C125" t="s">
        <v>124</v>
      </c>
      <c r="E125" t="s">
        <v>12</v>
      </c>
      <c r="F125" t="s">
        <v>13</v>
      </c>
      <c r="G125">
        <v>15</v>
      </c>
      <c r="H125" t="s">
        <v>125</v>
      </c>
      <c r="I125" t="s">
        <v>34</v>
      </c>
      <c r="J125" t="s">
        <v>330</v>
      </c>
      <c r="K125" t="s">
        <v>301</v>
      </c>
      <c r="L125" s="16">
        <v>30</v>
      </c>
    </row>
    <row r="126" spans="1:12">
      <c r="A126">
        <v>19</v>
      </c>
      <c r="B126">
        <v>3</v>
      </c>
      <c r="C126" t="s">
        <v>124</v>
      </c>
      <c r="E126" t="s">
        <v>43</v>
      </c>
      <c r="F126" t="s">
        <v>44</v>
      </c>
      <c r="G126">
        <v>2</v>
      </c>
      <c r="H126" t="s">
        <v>126</v>
      </c>
      <c r="I126" t="s">
        <v>15</v>
      </c>
      <c r="J126" t="s">
        <v>330</v>
      </c>
      <c r="K126" t="s">
        <v>301</v>
      </c>
      <c r="L126" s="16">
        <v>30</v>
      </c>
    </row>
    <row r="127" spans="1:12">
      <c r="A127">
        <v>19</v>
      </c>
      <c r="B127">
        <v>3</v>
      </c>
      <c r="C127" t="s">
        <v>124</v>
      </c>
      <c r="E127" t="s">
        <v>17</v>
      </c>
      <c r="F127" t="s">
        <v>18</v>
      </c>
      <c r="G127">
        <v>1</v>
      </c>
      <c r="H127" t="s">
        <v>127</v>
      </c>
      <c r="I127" t="s">
        <v>15</v>
      </c>
      <c r="J127" t="s">
        <v>330</v>
      </c>
      <c r="K127" t="s">
        <v>301</v>
      </c>
      <c r="L127" s="16">
        <v>30</v>
      </c>
    </row>
    <row r="128" spans="1:12">
      <c r="A128">
        <v>19</v>
      </c>
      <c r="B128">
        <v>3</v>
      </c>
      <c r="C128" t="s">
        <v>124</v>
      </c>
      <c r="E128" t="s">
        <v>65</v>
      </c>
      <c r="F128" t="s">
        <v>66</v>
      </c>
      <c r="G128">
        <v>2</v>
      </c>
      <c r="H128" t="s">
        <v>37</v>
      </c>
      <c r="I128" t="s">
        <v>15</v>
      </c>
      <c r="J128" t="s">
        <v>330</v>
      </c>
      <c r="K128" t="s">
        <v>301</v>
      </c>
      <c r="L128" s="16">
        <v>30</v>
      </c>
    </row>
    <row r="129" spans="1:12">
      <c r="A129">
        <v>19</v>
      </c>
      <c r="B129">
        <v>3</v>
      </c>
      <c r="C129" t="s">
        <v>124</v>
      </c>
      <c r="E129" t="s">
        <v>20</v>
      </c>
      <c r="F129" t="s">
        <v>21</v>
      </c>
      <c r="G129">
        <v>3</v>
      </c>
      <c r="H129" t="s">
        <v>49</v>
      </c>
      <c r="I129" t="s">
        <v>15</v>
      </c>
      <c r="J129" t="s">
        <v>330</v>
      </c>
      <c r="K129" t="s">
        <v>301</v>
      </c>
      <c r="L129" s="16">
        <v>30</v>
      </c>
    </row>
    <row r="130" spans="1:12">
      <c r="A130">
        <v>19</v>
      </c>
      <c r="B130">
        <v>3</v>
      </c>
      <c r="C130" t="s">
        <v>124</v>
      </c>
      <c r="E130" t="s">
        <v>23</v>
      </c>
      <c r="F130" t="s">
        <v>24</v>
      </c>
      <c r="G130">
        <v>69</v>
      </c>
      <c r="H130" t="s">
        <v>128</v>
      </c>
      <c r="I130" t="s">
        <v>15</v>
      </c>
      <c r="J130" t="s">
        <v>330</v>
      </c>
      <c r="K130" t="s">
        <v>301</v>
      </c>
      <c r="L130" s="16">
        <v>30</v>
      </c>
    </row>
    <row r="131" spans="1:12">
      <c r="A131">
        <v>19</v>
      </c>
      <c r="B131">
        <v>3</v>
      </c>
      <c r="C131" t="s">
        <v>124</v>
      </c>
      <c r="E131" t="s">
        <v>27</v>
      </c>
      <c r="F131" t="s">
        <v>28</v>
      </c>
      <c r="G131">
        <v>905</v>
      </c>
      <c r="H131" t="s">
        <v>129</v>
      </c>
      <c r="I131" t="s">
        <v>15</v>
      </c>
      <c r="J131" t="s">
        <v>330</v>
      </c>
      <c r="K131" t="s">
        <v>301</v>
      </c>
      <c r="L131" s="16">
        <v>30</v>
      </c>
    </row>
    <row r="132" spans="1:12">
      <c r="A132">
        <v>19</v>
      </c>
      <c r="B132">
        <v>3</v>
      </c>
      <c r="C132" t="s">
        <v>124</v>
      </c>
      <c r="E132" t="s">
        <v>35</v>
      </c>
      <c r="F132" t="s">
        <v>36</v>
      </c>
      <c r="G132">
        <v>1</v>
      </c>
      <c r="H132" t="s">
        <v>127</v>
      </c>
      <c r="I132" t="s">
        <v>34</v>
      </c>
      <c r="J132" t="s">
        <v>330</v>
      </c>
      <c r="K132" t="s">
        <v>301</v>
      </c>
      <c r="L132" s="16">
        <v>30</v>
      </c>
    </row>
    <row r="133" spans="1:12">
      <c r="A133">
        <v>19</v>
      </c>
      <c r="B133">
        <v>3</v>
      </c>
      <c r="C133" t="s">
        <v>124</v>
      </c>
      <c r="E133" t="s">
        <v>71</v>
      </c>
      <c r="F133" t="s">
        <v>72</v>
      </c>
      <c r="G133">
        <v>2</v>
      </c>
      <c r="H133" t="s">
        <v>37</v>
      </c>
      <c r="I133" t="s">
        <v>34</v>
      </c>
      <c r="J133" t="s">
        <v>331</v>
      </c>
      <c r="K133" t="s">
        <v>117</v>
      </c>
      <c r="L133" s="16">
        <v>30</v>
      </c>
    </row>
    <row r="134" spans="1:12">
      <c r="A134">
        <v>19</v>
      </c>
      <c r="B134">
        <v>3</v>
      </c>
      <c r="C134" t="s">
        <v>124</v>
      </c>
      <c r="E134" t="s">
        <v>76</v>
      </c>
      <c r="F134" t="s">
        <v>77</v>
      </c>
      <c r="G134">
        <v>2</v>
      </c>
      <c r="H134" t="s">
        <v>49</v>
      </c>
      <c r="I134" t="s">
        <v>34</v>
      </c>
      <c r="J134" t="s">
        <v>331</v>
      </c>
      <c r="K134" t="s">
        <v>117</v>
      </c>
      <c r="L134" s="16">
        <v>30</v>
      </c>
    </row>
    <row r="135" spans="1:12">
      <c r="A135">
        <v>19</v>
      </c>
      <c r="B135">
        <v>3</v>
      </c>
      <c r="C135" t="s">
        <v>124</v>
      </c>
      <c r="E135" t="s">
        <v>57</v>
      </c>
      <c r="F135" t="s">
        <v>58</v>
      </c>
      <c r="G135">
        <v>1</v>
      </c>
      <c r="H135" t="s">
        <v>37</v>
      </c>
      <c r="I135" t="s">
        <v>34</v>
      </c>
      <c r="J135" t="s">
        <v>331</v>
      </c>
      <c r="K135" t="s">
        <v>117</v>
      </c>
      <c r="L135" s="16">
        <v>30</v>
      </c>
    </row>
    <row r="136" spans="1:12">
      <c r="A136">
        <v>19</v>
      </c>
      <c r="B136">
        <v>3</v>
      </c>
      <c r="C136" t="s">
        <v>124</v>
      </c>
      <c r="E136" t="s">
        <v>31</v>
      </c>
      <c r="F136" t="s">
        <v>32</v>
      </c>
      <c r="G136">
        <v>7</v>
      </c>
      <c r="H136" t="s">
        <v>78</v>
      </c>
      <c r="I136" t="s">
        <v>34</v>
      </c>
      <c r="J136" t="s">
        <v>331</v>
      </c>
      <c r="K136" t="s">
        <v>117</v>
      </c>
      <c r="L136" s="16">
        <v>30</v>
      </c>
    </row>
    <row r="137" spans="1:12">
      <c r="A137">
        <v>19</v>
      </c>
      <c r="B137">
        <v>3</v>
      </c>
      <c r="C137" t="s">
        <v>124</v>
      </c>
      <c r="E137" t="s">
        <v>65</v>
      </c>
      <c r="F137" t="s">
        <v>66</v>
      </c>
      <c r="G137">
        <v>4</v>
      </c>
      <c r="H137" t="s">
        <v>55</v>
      </c>
      <c r="I137" t="s">
        <v>34</v>
      </c>
      <c r="J137" t="s">
        <v>331</v>
      </c>
      <c r="K137" t="s">
        <v>117</v>
      </c>
      <c r="L137" s="16">
        <v>30</v>
      </c>
    </row>
    <row r="138" spans="1:12">
      <c r="A138">
        <v>19</v>
      </c>
      <c r="B138">
        <v>3</v>
      </c>
      <c r="C138" t="s">
        <v>124</v>
      </c>
      <c r="E138" t="s">
        <v>20</v>
      </c>
      <c r="F138" t="s">
        <v>21</v>
      </c>
      <c r="G138">
        <v>18</v>
      </c>
      <c r="H138" t="s">
        <v>84</v>
      </c>
      <c r="I138" t="s">
        <v>34</v>
      </c>
      <c r="J138" t="s">
        <v>331</v>
      </c>
      <c r="K138" t="s">
        <v>117</v>
      </c>
      <c r="L138" s="16">
        <v>30</v>
      </c>
    </row>
    <row r="139" spans="1:12">
      <c r="A139">
        <v>19</v>
      </c>
      <c r="B139">
        <v>2</v>
      </c>
      <c r="C139" t="s">
        <v>130</v>
      </c>
      <c r="E139" t="s">
        <v>12</v>
      </c>
      <c r="F139" t="s">
        <v>13</v>
      </c>
      <c r="G139">
        <v>16</v>
      </c>
      <c r="H139" t="s">
        <v>131</v>
      </c>
      <c r="I139" t="s">
        <v>15</v>
      </c>
      <c r="J139" t="s">
        <v>333</v>
      </c>
      <c r="K139" t="s">
        <v>301</v>
      </c>
      <c r="L139" s="16">
        <v>30</v>
      </c>
    </row>
    <row r="140" spans="1:12">
      <c r="A140">
        <v>19</v>
      </c>
      <c r="B140">
        <v>2</v>
      </c>
      <c r="C140" t="s">
        <v>130</v>
      </c>
      <c r="E140" t="s">
        <v>76</v>
      </c>
      <c r="F140" t="s">
        <v>77</v>
      </c>
      <c r="G140">
        <v>1</v>
      </c>
      <c r="H140" t="s">
        <v>55</v>
      </c>
      <c r="I140" t="s">
        <v>15</v>
      </c>
      <c r="J140" t="s">
        <v>333</v>
      </c>
      <c r="K140" t="s">
        <v>301</v>
      </c>
      <c r="L140" s="16">
        <v>30</v>
      </c>
    </row>
    <row r="141" spans="1:12">
      <c r="A141">
        <v>19</v>
      </c>
      <c r="B141">
        <v>2</v>
      </c>
      <c r="C141" t="s">
        <v>130</v>
      </c>
      <c r="E141" t="s">
        <v>17</v>
      </c>
      <c r="F141" t="s">
        <v>18</v>
      </c>
      <c r="G141">
        <v>1</v>
      </c>
      <c r="H141" t="s">
        <v>132</v>
      </c>
      <c r="I141" t="s">
        <v>15</v>
      </c>
      <c r="J141" t="s">
        <v>333</v>
      </c>
      <c r="K141" t="s">
        <v>301</v>
      </c>
      <c r="L141" s="16">
        <v>30</v>
      </c>
    </row>
    <row r="142" spans="1:12">
      <c r="A142">
        <v>19</v>
      </c>
      <c r="B142">
        <v>2</v>
      </c>
      <c r="C142" t="s">
        <v>130</v>
      </c>
      <c r="E142" t="s">
        <v>20</v>
      </c>
      <c r="F142" t="s">
        <v>21</v>
      </c>
      <c r="G142">
        <v>3</v>
      </c>
      <c r="H142" t="s">
        <v>55</v>
      </c>
      <c r="I142" t="s">
        <v>15</v>
      </c>
      <c r="J142" t="s">
        <v>333</v>
      </c>
      <c r="K142" t="s">
        <v>301</v>
      </c>
      <c r="L142" s="16">
        <v>30</v>
      </c>
    </row>
    <row r="143" spans="1:12">
      <c r="A143">
        <v>19</v>
      </c>
      <c r="B143">
        <v>2</v>
      </c>
      <c r="C143" t="s">
        <v>130</v>
      </c>
      <c r="E143" t="s">
        <v>57</v>
      </c>
      <c r="F143" t="s">
        <v>58</v>
      </c>
      <c r="G143">
        <v>1</v>
      </c>
      <c r="H143" t="s">
        <v>37</v>
      </c>
      <c r="I143" t="s">
        <v>15</v>
      </c>
      <c r="J143" t="s">
        <v>333</v>
      </c>
      <c r="K143" t="s">
        <v>301</v>
      </c>
      <c r="L143" s="16">
        <v>30</v>
      </c>
    </row>
    <row r="144" spans="1:12">
      <c r="A144">
        <v>19</v>
      </c>
      <c r="B144">
        <v>2</v>
      </c>
      <c r="C144" t="s">
        <v>130</v>
      </c>
      <c r="E144" t="s">
        <v>23</v>
      </c>
      <c r="F144" t="s">
        <v>24</v>
      </c>
      <c r="G144">
        <v>43</v>
      </c>
      <c r="H144" t="s">
        <v>133</v>
      </c>
      <c r="I144" t="s">
        <v>15</v>
      </c>
      <c r="J144" t="s">
        <v>333</v>
      </c>
      <c r="K144" t="s">
        <v>301</v>
      </c>
      <c r="L144" s="16">
        <v>30</v>
      </c>
    </row>
    <row r="145" spans="1:12">
      <c r="A145">
        <v>19</v>
      </c>
      <c r="B145">
        <v>2</v>
      </c>
      <c r="C145" t="s">
        <v>130</v>
      </c>
      <c r="E145" t="s">
        <v>27</v>
      </c>
      <c r="F145" t="s">
        <v>28</v>
      </c>
      <c r="G145">
        <v>591</v>
      </c>
      <c r="H145" t="s">
        <v>134</v>
      </c>
      <c r="I145" t="s">
        <v>15</v>
      </c>
      <c r="J145" t="s">
        <v>333</v>
      </c>
      <c r="K145" t="s">
        <v>301</v>
      </c>
      <c r="L145" s="16">
        <v>30</v>
      </c>
    </row>
    <row r="146" spans="1:12">
      <c r="A146">
        <v>19</v>
      </c>
      <c r="B146">
        <v>2</v>
      </c>
      <c r="C146" t="s">
        <v>130</v>
      </c>
      <c r="E146" t="s">
        <v>31</v>
      </c>
      <c r="F146" t="s">
        <v>32</v>
      </c>
      <c r="G146">
        <v>11</v>
      </c>
      <c r="H146" t="s">
        <v>114</v>
      </c>
      <c r="I146" t="s">
        <v>34</v>
      </c>
      <c r="J146" t="s">
        <v>334</v>
      </c>
      <c r="K146" t="s">
        <v>117</v>
      </c>
      <c r="L146" s="16">
        <v>30</v>
      </c>
    </row>
    <row r="147" spans="1:12">
      <c r="A147">
        <v>19</v>
      </c>
      <c r="B147">
        <v>2</v>
      </c>
      <c r="C147" t="s">
        <v>130</v>
      </c>
      <c r="E147" t="s">
        <v>71</v>
      </c>
      <c r="F147" t="s">
        <v>72</v>
      </c>
      <c r="G147">
        <v>1</v>
      </c>
      <c r="H147" t="s">
        <v>37</v>
      </c>
      <c r="I147" t="s">
        <v>34</v>
      </c>
      <c r="J147" t="s">
        <v>334</v>
      </c>
      <c r="K147" t="s">
        <v>117</v>
      </c>
      <c r="L147" s="16">
        <v>30</v>
      </c>
    </row>
    <row r="148" spans="1:12">
      <c r="A148">
        <v>19</v>
      </c>
      <c r="B148">
        <v>2</v>
      </c>
      <c r="C148" t="s">
        <v>130</v>
      </c>
      <c r="E148" t="s">
        <v>76</v>
      </c>
      <c r="F148" t="s">
        <v>77</v>
      </c>
      <c r="G148">
        <v>1</v>
      </c>
      <c r="H148" t="s">
        <v>37</v>
      </c>
      <c r="I148" t="s">
        <v>34</v>
      </c>
      <c r="J148" t="s">
        <v>334</v>
      </c>
      <c r="K148" t="s">
        <v>117</v>
      </c>
      <c r="L148" s="16">
        <v>30</v>
      </c>
    </row>
    <row r="149" spans="1:12">
      <c r="A149">
        <v>19</v>
      </c>
      <c r="B149">
        <v>2</v>
      </c>
      <c r="C149" t="s">
        <v>130</v>
      </c>
      <c r="E149" t="s">
        <v>20</v>
      </c>
      <c r="F149" t="s">
        <v>21</v>
      </c>
      <c r="G149">
        <v>43</v>
      </c>
      <c r="H149" t="s">
        <v>332</v>
      </c>
      <c r="I149" t="s">
        <v>34</v>
      </c>
      <c r="J149" t="s">
        <v>334</v>
      </c>
      <c r="K149" t="s">
        <v>117</v>
      </c>
      <c r="L149" s="16">
        <v>30</v>
      </c>
    </row>
    <row r="150" spans="1:12">
      <c r="A150">
        <v>19</v>
      </c>
      <c r="B150">
        <v>2</v>
      </c>
      <c r="C150" t="s">
        <v>130</v>
      </c>
      <c r="E150" t="s">
        <v>57</v>
      </c>
      <c r="F150" t="s">
        <v>58</v>
      </c>
      <c r="G150">
        <v>2</v>
      </c>
      <c r="H150" t="s">
        <v>55</v>
      </c>
      <c r="I150" t="s">
        <v>34</v>
      </c>
      <c r="J150" t="s">
        <v>334</v>
      </c>
      <c r="K150" t="s">
        <v>117</v>
      </c>
      <c r="L150" s="16">
        <v>30</v>
      </c>
    </row>
    <row r="151" spans="1:12">
      <c r="A151">
        <v>32</v>
      </c>
      <c r="B151">
        <v>3</v>
      </c>
      <c r="C151" t="s">
        <v>135</v>
      </c>
      <c r="E151" t="s">
        <v>12</v>
      </c>
      <c r="F151" t="s">
        <v>13</v>
      </c>
      <c r="G151">
        <v>7</v>
      </c>
      <c r="H151" t="s">
        <v>136</v>
      </c>
      <c r="I151" t="s">
        <v>15</v>
      </c>
      <c r="J151" t="s">
        <v>137</v>
      </c>
      <c r="K151" t="s">
        <v>335</v>
      </c>
      <c r="L151" s="16">
        <v>1</v>
      </c>
    </row>
    <row r="152" spans="1:12">
      <c r="A152">
        <v>32</v>
      </c>
      <c r="B152">
        <v>3</v>
      </c>
      <c r="C152" t="s">
        <v>135</v>
      </c>
      <c r="E152" t="s">
        <v>138</v>
      </c>
      <c r="F152" t="s">
        <v>139</v>
      </c>
      <c r="H152" t="s">
        <v>140</v>
      </c>
      <c r="I152" t="s">
        <v>15</v>
      </c>
      <c r="J152" t="s">
        <v>137</v>
      </c>
      <c r="K152" t="s">
        <v>335</v>
      </c>
      <c r="L152" s="16">
        <v>1</v>
      </c>
    </row>
    <row r="153" spans="1:12">
      <c r="A153">
        <v>32</v>
      </c>
      <c r="B153">
        <v>3</v>
      </c>
      <c r="C153" t="s">
        <v>135</v>
      </c>
      <c r="E153" t="s">
        <v>141</v>
      </c>
      <c r="F153" t="s">
        <v>142</v>
      </c>
      <c r="H153" t="s">
        <v>143</v>
      </c>
      <c r="I153" t="s">
        <v>15</v>
      </c>
      <c r="J153" t="s">
        <v>137</v>
      </c>
      <c r="K153" t="s">
        <v>335</v>
      </c>
      <c r="L153" s="16">
        <v>1</v>
      </c>
    </row>
    <row r="154" spans="1:12">
      <c r="A154">
        <v>32</v>
      </c>
      <c r="B154">
        <v>3</v>
      </c>
      <c r="C154" t="s">
        <v>135</v>
      </c>
      <c r="E154" t="s">
        <v>144</v>
      </c>
      <c r="F154" t="s">
        <v>145</v>
      </c>
      <c r="H154" t="s">
        <v>22</v>
      </c>
      <c r="I154" t="s">
        <v>15</v>
      </c>
      <c r="J154" t="s">
        <v>137</v>
      </c>
      <c r="K154" t="s">
        <v>335</v>
      </c>
      <c r="L154" s="16">
        <v>1</v>
      </c>
    </row>
    <row r="155" spans="1:12">
      <c r="A155">
        <v>32</v>
      </c>
      <c r="B155">
        <v>3</v>
      </c>
      <c r="C155" t="s">
        <v>135</v>
      </c>
      <c r="E155" t="s">
        <v>146</v>
      </c>
      <c r="F155" t="s">
        <v>147</v>
      </c>
      <c r="H155" t="s">
        <v>37</v>
      </c>
      <c r="I155" t="s">
        <v>15</v>
      </c>
      <c r="J155" t="s">
        <v>137</v>
      </c>
      <c r="K155" t="s">
        <v>335</v>
      </c>
      <c r="L155" s="16">
        <v>1</v>
      </c>
    </row>
    <row r="156" spans="1:12">
      <c r="A156">
        <v>32</v>
      </c>
      <c r="B156">
        <v>3</v>
      </c>
      <c r="C156" t="s">
        <v>135</v>
      </c>
      <c r="E156" t="s">
        <v>148</v>
      </c>
      <c r="F156" t="s">
        <v>149</v>
      </c>
      <c r="G156">
        <v>1</v>
      </c>
      <c r="H156" t="s">
        <v>150</v>
      </c>
      <c r="I156" t="s">
        <v>15</v>
      </c>
      <c r="J156" t="s">
        <v>137</v>
      </c>
      <c r="K156" t="s">
        <v>335</v>
      </c>
      <c r="L156" s="16">
        <v>1</v>
      </c>
    </row>
    <row r="157" spans="1:12">
      <c r="A157">
        <v>32</v>
      </c>
      <c r="B157">
        <v>3</v>
      </c>
      <c r="C157" t="s">
        <v>135</v>
      </c>
      <c r="E157" t="s">
        <v>151</v>
      </c>
      <c r="F157" t="s">
        <v>152</v>
      </c>
      <c r="G157">
        <v>39</v>
      </c>
      <c r="H157" t="s">
        <v>52</v>
      </c>
      <c r="I157" t="s">
        <v>15</v>
      </c>
      <c r="J157" t="s">
        <v>137</v>
      </c>
      <c r="K157" t="s">
        <v>335</v>
      </c>
      <c r="L157" s="16">
        <v>1</v>
      </c>
    </row>
    <row r="158" spans="1:12">
      <c r="A158">
        <v>32</v>
      </c>
      <c r="B158">
        <v>3</v>
      </c>
      <c r="C158" t="s">
        <v>135</v>
      </c>
      <c r="E158" t="s">
        <v>76</v>
      </c>
      <c r="F158" t="s">
        <v>77</v>
      </c>
      <c r="G158">
        <v>7</v>
      </c>
      <c r="H158" t="s">
        <v>150</v>
      </c>
      <c r="I158" t="s">
        <v>15</v>
      </c>
      <c r="J158" t="s">
        <v>137</v>
      </c>
      <c r="K158" t="s">
        <v>335</v>
      </c>
      <c r="L158" s="16">
        <v>1</v>
      </c>
    </row>
    <row r="159" spans="1:12">
      <c r="A159">
        <v>32</v>
      </c>
      <c r="B159">
        <v>3</v>
      </c>
      <c r="C159" t="s">
        <v>135</v>
      </c>
      <c r="E159" t="s">
        <v>74</v>
      </c>
      <c r="F159" t="s">
        <v>75</v>
      </c>
      <c r="G159">
        <v>2</v>
      </c>
      <c r="H159" t="s">
        <v>19</v>
      </c>
      <c r="I159" t="s">
        <v>15</v>
      </c>
      <c r="J159" t="s">
        <v>137</v>
      </c>
      <c r="K159" t="s">
        <v>335</v>
      </c>
      <c r="L159" s="16">
        <v>1</v>
      </c>
    </row>
    <row r="160" spans="1:12">
      <c r="A160">
        <v>32</v>
      </c>
      <c r="B160">
        <v>3</v>
      </c>
      <c r="C160" t="s">
        <v>135</v>
      </c>
      <c r="E160" t="s">
        <v>106</v>
      </c>
      <c r="F160" t="s">
        <v>107</v>
      </c>
      <c r="G160">
        <v>2</v>
      </c>
      <c r="H160" t="s">
        <v>67</v>
      </c>
      <c r="I160" t="s">
        <v>15</v>
      </c>
      <c r="J160" t="s">
        <v>137</v>
      </c>
      <c r="K160" t="s">
        <v>335</v>
      </c>
      <c r="L160" s="16">
        <v>1</v>
      </c>
    </row>
    <row r="161" spans="1:12">
      <c r="A161">
        <v>32</v>
      </c>
      <c r="B161">
        <v>3</v>
      </c>
      <c r="C161" t="s">
        <v>135</v>
      </c>
      <c r="E161" t="s">
        <v>38</v>
      </c>
      <c r="F161" t="s">
        <v>39</v>
      </c>
      <c r="G161">
        <v>2</v>
      </c>
      <c r="H161" t="s">
        <v>55</v>
      </c>
      <c r="I161" t="s">
        <v>15</v>
      </c>
      <c r="J161" t="s">
        <v>137</v>
      </c>
      <c r="K161" t="s">
        <v>335</v>
      </c>
      <c r="L161" s="16">
        <v>1</v>
      </c>
    </row>
    <row r="162" spans="1:12">
      <c r="A162">
        <v>32</v>
      </c>
      <c r="B162">
        <v>3</v>
      </c>
      <c r="C162" t="s">
        <v>135</v>
      </c>
      <c r="E162" t="s">
        <v>98</v>
      </c>
      <c r="F162" t="s">
        <v>99</v>
      </c>
      <c r="G162">
        <v>1</v>
      </c>
      <c r="H162" t="s">
        <v>55</v>
      </c>
      <c r="I162" t="s">
        <v>15</v>
      </c>
      <c r="J162" t="s">
        <v>137</v>
      </c>
      <c r="K162" t="s">
        <v>335</v>
      </c>
      <c r="L162" s="16">
        <v>1</v>
      </c>
    </row>
    <row r="163" spans="1:12">
      <c r="A163">
        <v>32</v>
      </c>
      <c r="B163">
        <v>3</v>
      </c>
      <c r="C163" t="s">
        <v>135</v>
      </c>
      <c r="E163" t="s">
        <v>59</v>
      </c>
      <c r="F163" t="s">
        <v>60</v>
      </c>
      <c r="G163">
        <v>2</v>
      </c>
      <c r="H163" t="s">
        <v>55</v>
      </c>
      <c r="I163" t="s">
        <v>15</v>
      </c>
      <c r="J163" t="s">
        <v>137</v>
      </c>
      <c r="K163" t="s">
        <v>335</v>
      </c>
      <c r="L163" s="16">
        <v>1</v>
      </c>
    </row>
    <row r="164" spans="1:12">
      <c r="A164">
        <v>32</v>
      </c>
      <c r="B164">
        <v>3</v>
      </c>
      <c r="C164" t="s">
        <v>135</v>
      </c>
      <c r="E164" t="s">
        <v>20</v>
      </c>
      <c r="F164" t="s">
        <v>21</v>
      </c>
      <c r="G164">
        <v>1</v>
      </c>
      <c r="H164" t="s">
        <v>55</v>
      </c>
      <c r="I164" t="s">
        <v>15</v>
      </c>
      <c r="J164" t="s">
        <v>137</v>
      </c>
      <c r="K164" t="s">
        <v>335</v>
      </c>
      <c r="L164" s="16">
        <v>1</v>
      </c>
    </row>
    <row r="165" spans="1:12">
      <c r="A165">
        <v>32</v>
      </c>
      <c r="B165">
        <v>3</v>
      </c>
      <c r="C165" t="s">
        <v>135</v>
      </c>
      <c r="E165" t="s">
        <v>119</v>
      </c>
      <c r="F165" t="s">
        <v>120</v>
      </c>
      <c r="G165">
        <v>1</v>
      </c>
      <c r="H165" t="s">
        <v>37</v>
      </c>
      <c r="I165" t="s">
        <v>15</v>
      </c>
      <c r="J165" t="s">
        <v>137</v>
      </c>
      <c r="K165" t="s">
        <v>335</v>
      </c>
      <c r="L165" s="16">
        <v>1</v>
      </c>
    </row>
    <row r="166" spans="1:12">
      <c r="A166">
        <v>32</v>
      </c>
      <c r="B166">
        <v>3</v>
      </c>
      <c r="C166" t="s">
        <v>135</v>
      </c>
      <c r="E166" t="s">
        <v>153</v>
      </c>
      <c r="F166" t="s">
        <v>154</v>
      </c>
      <c r="G166">
        <v>56</v>
      </c>
      <c r="H166" t="s">
        <v>155</v>
      </c>
      <c r="I166" t="s">
        <v>15</v>
      </c>
      <c r="J166" t="s">
        <v>137</v>
      </c>
      <c r="K166" t="s">
        <v>335</v>
      </c>
      <c r="L166" s="16">
        <v>1</v>
      </c>
    </row>
    <row r="167" spans="1:12">
      <c r="A167">
        <v>32</v>
      </c>
      <c r="B167">
        <v>3</v>
      </c>
      <c r="C167" t="s">
        <v>135</v>
      </c>
      <c r="E167" t="s">
        <v>27</v>
      </c>
      <c r="F167" t="s">
        <v>28</v>
      </c>
      <c r="G167">
        <v>337</v>
      </c>
      <c r="H167" t="s">
        <v>156</v>
      </c>
      <c r="I167" t="s">
        <v>15</v>
      </c>
      <c r="J167" t="s">
        <v>137</v>
      </c>
      <c r="K167" t="s">
        <v>335</v>
      </c>
      <c r="L167" s="16">
        <v>1</v>
      </c>
    </row>
    <row r="168" spans="1:12">
      <c r="A168">
        <v>32</v>
      </c>
      <c r="B168">
        <v>1</v>
      </c>
      <c r="C168" t="s">
        <v>157</v>
      </c>
      <c r="E168" t="s">
        <v>141</v>
      </c>
      <c r="F168" t="s">
        <v>142</v>
      </c>
      <c r="H168" t="s">
        <v>158</v>
      </c>
      <c r="I168" t="s">
        <v>15</v>
      </c>
      <c r="J168" t="s">
        <v>159</v>
      </c>
      <c r="K168" t="s">
        <v>335</v>
      </c>
      <c r="L168" s="16">
        <v>1</v>
      </c>
    </row>
    <row r="169" spans="1:12">
      <c r="A169">
        <v>32</v>
      </c>
      <c r="B169">
        <v>1</v>
      </c>
      <c r="C169" t="s">
        <v>157</v>
      </c>
      <c r="E169" t="s">
        <v>160</v>
      </c>
      <c r="F169" t="s">
        <v>161</v>
      </c>
      <c r="G169">
        <v>2</v>
      </c>
      <c r="H169" t="s">
        <v>162</v>
      </c>
      <c r="I169" t="s">
        <v>15</v>
      </c>
      <c r="J169" t="s">
        <v>159</v>
      </c>
      <c r="K169" t="s">
        <v>335</v>
      </c>
      <c r="L169" s="16">
        <v>1</v>
      </c>
    </row>
    <row r="170" spans="1:12">
      <c r="A170">
        <v>32</v>
      </c>
      <c r="B170">
        <v>1</v>
      </c>
      <c r="C170" t="s">
        <v>157</v>
      </c>
      <c r="E170" t="s">
        <v>12</v>
      </c>
      <c r="F170" t="s">
        <v>13</v>
      </c>
      <c r="G170">
        <v>3</v>
      </c>
      <c r="H170" t="s">
        <v>163</v>
      </c>
      <c r="I170" t="s">
        <v>15</v>
      </c>
      <c r="J170" t="s">
        <v>159</v>
      </c>
      <c r="K170" t="s">
        <v>335</v>
      </c>
      <c r="L170" s="16">
        <v>1</v>
      </c>
    </row>
    <row r="171" spans="1:12">
      <c r="A171">
        <v>32</v>
      </c>
      <c r="B171">
        <v>1</v>
      </c>
      <c r="C171" t="s">
        <v>157</v>
      </c>
      <c r="E171" t="s">
        <v>146</v>
      </c>
      <c r="F171" t="s">
        <v>147</v>
      </c>
      <c r="H171" t="s">
        <v>164</v>
      </c>
      <c r="I171" t="s">
        <v>15</v>
      </c>
      <c r="J171" t="s">
        <v>159</v>
      </c>
      <c r="K171" t="s">
        <v>335</v>
      </c>
      <c r="L171" s="16">
        <v>1</v>
      </c>
    </row>
    <row r="172" spans="1:12">
      <c r="A172">
        <v>32</v>
      </c>
      <c r="B172">
        <v>1</v>
      </c>
      <c r="C172" t="s">
        <v>157</v>
      </c>
      <c r="E172" t="s">
        <v>165</v>
      </c>
      <c r="F172" t="s">
        <v>166</v>
      </c>
      <c r="H172" t="s">
        <v>37</v>
      </c>
      <c r="I172" t="s">
        <v>15</v>
      </c>
      <c r="J172" t="s">
        <v>159</v>
      </c>
      <c r="K172" t="s">
        <v>335</v>
      </c>
      <c r="L172" s="16">
        <v>1</v>
      </c>
    </row>
    <row r="173" spans="1:12">
      <c r="A173">
        <v>32</v>
      </c>
      <c r="B173">
        <v>1</v>
      </c>
      <c r="C173" t="s">
        <v>157</v>
      </c>
      <c r="E173" t="s">
        <v>167</v>
      </c>
      <c r="F173" t="s">
        <v>168</v>
      </c>
      <c r="H173" t="s">
        <v>169</v>
      </c>
      <c r="I173" t="s">
        <v>15</v>
      </c>
      <c r="J173" t="s">
        <v>159</v>
      </c>
      <c r="K173" t="s">
        <v>335</v>
      </c>
      <c r="L173" s="16">
        <v>1</v>
      </c>
    </row>
    <row r="174" spans="1:12">
      <c r="A174">
        <v>32</v>
      </c>
      <c r="B174">
        <v>1</v>
      </c>
      <c r="C174" t="s">
        <v>157</v>
      </c>
      <c r="E174" t="s">
        <v>170</v>
      </c>
      <c r="F174" t="s">
        <v>171</v>
      </c>
      <c r="G174">
        <v>1</v>
      </c>
      <c r="H174" t="s">
        <v>172</v>
      </c>
      <c r="I174" t="s">
        <v>15</v>
      </c>
      <c r="J174" t="s">
        <v>159</v>
      </c>
      <c r="K174" t="s">
        <v>335</v>
      </c>
      <c r="L174" s="16">
        <v>1</v>
      </c>
    </row>
    <row r="175" spans="1:12">
      <c r="A175">
        <v>32</v>
      </c>
      <c r="B175">
        <v>1</v>
      </c>
      <c r="C175" t="s">
        <v>157</v>
      </c>
      <c r="E175" t="s">
        <v>173</v>
      </c>
      <c r="F175" t="s">
        <v>174</v>
      </c>
      <c r="G175">
        <v>3</v>
      </c>
      <c r="H175" t="s">
        <v>49</v>
      </c>
      <c r="I175" t="s">
        <v>15</v>
      </c>
      <c r="J175" t="s">
        <v>159</v>
      </c>
      <c r="K175" t="s">
        <v>335</v>
      </c>
      <c r="L175" s="16">
        <v>1</v>
      </c>
    </row>
    <row r="176" spans="1:12">
      <c r="A176">
        <v>32</v>
      </c>
      <c r="B176">
        <v>1</v>
      </c>
      <c r="C176" t="s">
        <v>157</v>
      </c>
      <c r="E176" t="s">
        <v>175</v>
      </c>
      <c r="F176" t="s">
        <v>176</v>
      </c>
      <c r="G176">
        <v>5</v>
      </c>
      <c r="H176" t="s">
        <v>22</v>
      </c>
      <c r="I176" t="s">
        <v>15</v>
      </c>
      <c r="J176" t="s">
        <v>159</v>
      </c>
      <c r="K176" t="s">
        <v>335</v>
      </c>
      <c r="L176" s="16">
        <v>1</v>
      </c>
    </row>
    <row r="177" spans="1:12">
      <c r="A177">
        <v>32</v>
      </c>
      <c r="B177">
        <v>1</v>
      </c>
      <c r="C177" t="s">
        <v>157</v>
      </c>
      <c r="E177" t="s">
        <v>177</v>
      </c>
      <c r="F177" t="s">
        <v>178</v>
      </c>
      <c r="G177">
        <v>5</v>
      </c>
      <c r="H177" t="s">
        <v>22</v>
      </c>
      <c r="I177" t="s">
        <v>15</v>
      </c>
      <c r="J177" t="s">
        <v>159</v>
      </c>
      <c r="K177" t="s">
        <v>335</v>
      </c>
      <c r="L177" s="16">
        <v>1</v>
      </c>
    </row>
    <row r="178" spans="1:12">
      <c r="A178">
        <v>32</v>
      </c>
      <c r="B178">
        <v>1</v>
      </c>
      <c r="C178" t="s">
        <v>157</v>
      </c>
      <c r="E178" t="s">
        <v>106</v>
      </c>
      <c r="F178" t="s">
        <v>107</v>
      </c>
      <c r="G178">
        <v>1</v>
      </c>
      <c r="H178" t="s">
        <v>83</v>
      </c>
      <c r="I178" t="s">
        <v>15</v>
      </c>
      <c r="J178" t="s">
        <v>159</v>
      </c>
      <c r="K178" t="s">
        <v>335</v>
      </c>
      <c r="L178" s="16">
        <v>1</v>
      </c>
    </row>
    <row r="179" spans="1:12">
      <c r="A179">
        <v>32</v>
      </c>
      <c r="B179">
        <v>1</v>
      </c>
      <c r="C179" t="s">
        <v>157</v>
      </c>
      <c r="E179" t="s">
        <v>38</v>
      </c>
      <c r="F179" t="s">
        <v>39</v>
      </c>
      <c r="G179">
        <v>1</v>
      </c>
      <c r="H179" t="s">
        <v>37</v>
      </c>
      <c r="I179" t="s">
        <v>15</v>
      </c>
      <c r="J179" t="s">
        <v>159</v>
      </c>
      <c r="K179" t="s">
        <v>335</v>
      </c>
      <c r="L179" s="16">
        <v>1</v>
      </c>
    </row>
    <row r="180" spans="1:12">
      <c r="A180">
        <v>32</v>
      </c>
      <c r="B180">
        <v>1</v>
      </c>
      <c r="C180" t="s">
        <v>157</v>
      </c>
      <c r="E180" t="s">
        <v>57</v>
      </c>
      <c r="F180" t="s">
        <v>58</v>
      </c>
      <c r="G180">
        <v>1</v>
      </c>
      <c r="H180" t="s">
        <v>22</v>
      </c>
      <c r="I180" t="s">
        <v>15</v>
      </c>
      <c r="J180" t="s">
        <v>159</v>
      </c>
      <c r="K180" t="s">
        <v>335</v>
      </c>
      <c r="L180" s="16">
        <v>1</v>
      </c>
    </row>
    <row r="181" spans="1:12">
      <c r="A181">
        <v>32</v>
      </c>
      <c r="B181">
        <v>1</v>
      </c>
      <c r="C181" t="s">
        <v>157</v>
      </c>
      <c r="E181" t="s">
        <v>151</v>
      </c>
      <c r="F181" t="s">
        <v>152</v>
      </c>
      <c r="G181">
        <v>10</v>
      </c>
      <c r="H181" t="s">
        <v>22</v>
      </c>
      <c r="I181" t="s">
        <v>15</v>
      </c>
      <c r="J181" t="s">
        <v>159</v>
      </c>
      <c r="K181" t="s">
        <v>335</v>
      </c>
      <c r="L181" s="16">
        <v>1</v>
      </c>
    </row>
    <row r="182" spans="1:12">
      <c r="A182">
        <v>32</v>
      </c>
      <c r="B182">
        <v>1</v>
      </c>
      <c r="C182" t="s">
        <v>157</v>
      </c>
      <c r="E182" t="s">
        <v>76</v>
      </c>
      <c r="F182" t="s">
        <v>77</v>
      </c>
      <c r="G182">
        <v>1</v>
      </c>
      <c r="H182" t="s">
        <v>37</v>
      </c>
      <c r="I182" t="s">
        <v>15</v>
      </c>
      <c r="J182" t="s">
        <v>159</v>
      </c>
      <c r="K182" t="s">
        <v>335</v>
      </c>
      <c r="L182" s="16">
        <v>1</v>
      </c>
    </row>
    <row r="183" spans="1:12">
      <c r="A183">
        <v>32</v>
      </c>
      <c r="B183">
        <v>1</v>
      </c>
      <c r="C183" t="s">
        <v>157</v>
      </c>
      <c r="E183" t="s">
        <v>59</v>
      </c>
      <c r="F183" t="s">
        <v>60</v>
      </c>
      <c r="G183">
        <v>1</v>
      </c>
      <c r="H183" t="s">
        <v>37</v>
      </c>
      <c r="I183" t="s">
        <v>15</v>
      </c>
      <c r="J183" t="s">
        <v>159</v>
      </c>
      <c r="K183" t="s">
        <v>335</v>
      </c>
      <c r="L183" s="16">
        <v>1</v>
      </c>
    </row>
    <row r="184" spans="1:12">
      <c r="A184">
        <v>32</v>
      </c>
      <c r="B184">
        <v>1</v>
      </c>
      <c r="C184" t="s">
        <v>157</v>
      </c>
      <c r="E184" t="s">
        <v>179</v>
      </c>
      <c r="F184" t="s">
        <v>180</v>
      </c>
      <c r="G184">
        <v>1</v>
      </c>
      <c r="H184" t="s">
        <v>49</v>
      </c>
      <c r="I184" t="s">
        <v>15</v>
      </c>
      <c r="J184" t="s">
        <v>159</v>
      </c>
      <c r="K184" t="s">
        <v>335</v>
      </c>
      <c r="L184" s="16">
        <v>1</v>
      </c>
    </row>
    <row r="185" spans="1:12">
      <c r="A185">
        <v>32</v>
      </c>
      <c r="B185">
        <v>1</v>
      </c>
      <c r="C185" t="s">
        <v>157</v>
      </c>
      <c r="E185" t="s">
        <v>153</v>
      </c>
      <c r="F185" t="s">
        <v>154</v>
      </c>
      <c r="G185">
        <v>162</v>
      </c>
      <c r="H185" t="s">
        <v>181</v>
      </c>
      <c r="I185" t="s">
        <v>15</v>
      </c>
      <c r="J185" t="s">
        <v>159</v>
      </c>
      <c r="K185" t="s">
        <v>335</v>
      </c>
      <c r="L185" s="16">
        <v>1</v>
      </c>
    </row>
    <row r="186" spans="1:12">
      <c r="A186">
        <v>32</v>
      </c>
      <c r="B186">
        <v>1</v>
      </c>
      <c r="C186" t="s">
        <v>157</v>
      </c>
      <c r="E186" t="s">
        <v>182</v>
      </c>
      <c r="F186" t="s">
        <v>183</v>
      </c>
      <c r="G186">
        <v>1</v>
      </c>
      <c r="H186" t="s">
        <v>49</v>
      </c>
      <c r="I186" t="s">
        <v>15</v>
      </c>
      <c r="J186" t="s">
        <v>159</v>
      </c>
      <c r="K186" t="s">
        <v>335</v>
      </c>
      <c r="L186" s="16">
        <v>1</v>
      </c>
    </row>
    <row r="187" spans="1:12">
      <c r="A187">
        <v>32</v>
      </c>
      <c r="B187">
        <v>1</v>
      </c>
      <c r="C187" t="s">
        <v>157</v>
      </c>
      <c r="E187" t="s">
        <v>27</v>
      </c>
      <c r="F187" t="s">
        <v>28</v>
      </c>
      <c r="G187">
        <v>825</v>
      </c>
      <c r="H187" t="s">
        <v>184</v>
      </c>
      <c r="I187" t="s">
        <v>15</v>
      </c>
      <c r="J187" t="s">
        <v>185</v>
      </c>
      <c r="K187" t="s">
        <v>335</v>
      </c>
      <c r="L187" s="16">
        <v>1</v>
      </c>
    </row>
    <row r="188" spans="1:12">
      <c r="A188">
        <v>34</v>
      </c>
      <c r="B188">
        <v>3</v>
      </c>
      <c r="C188" t="s">
        <v>186</v>
      </c>
      <c r="E188" t="s">
        <v>153</v>
      </c>
      <c r="F188" t="s">
        <v>154</v>
      </c>
      <c r="G188">
        <v>251</v>
      </c>
      <c r="H188" t="s">
        <v>187</v>
      </c>
      <c r="I188" t="s">
        <v>15</v>
      </c>
      <c r="J188" t="s">
        <v>185</v>
      </c>
      <c r="K188" t="s">
        <v>335</v>
      </c>
      <c r="L188" s="16">
        <v>1</v>
      </c>
    </row>
    <row r="189" spans="1:12">
      <c r="A189">
        <v>34</v>
      </c>
      <c r="B189">
        <v>3</v>
      </c>
      <c r="C189" t="s">
        <v>186</v>
      </c>
      <c r="E189" t="s">
        <v>12</v>
      </c>
      <c r="F189" t="s">
        <v>13</v>
      </c>
      <c r="G189">
        <v>7</v>
      </c>
      <c r="H189" t="s">
        <v>188</v>
      </c>
      <c r="I189" t="s">
        <v>15</v>
      </c>
      <c r="J189" t="s">
        <v>185</v>
      </c>
      <c r="K189" t="s">
        <v>335</v>
      </c>
      <c r="L189" s="16">
        <v>1</v>
      </c>
    </row>
    <row r="190" spans="1:12">
      <c r="A190">
        <v>34</v>
      </c>
      <c r="B190">
        <v>3</v>
      </c>
      <c r="C190" t="s">
        <v>186</v>
      </c>
      <c r="E190" t="s">
        <v>43</v>
      </c>
      <c r="F190" t="s">
        <v>44</v>
      </c>
      <c r="G190">
        <v>1</v>
      </c>
      <c r="H190" t="s">
        <v>189</v>
      </c>
      <c r="I190" t="s">
        <v>15</v>
      </c>
      <c r="J190" t="s">
        <v>185</v>
      </c>
      <c r="K190" t="s">
        <v>335</v>
      </c>
      <c r="L190" s="16">
        <v>1</v>
      </c>
    </row>
    <row r="191" spans="1:12">
      <c r="A191">
        <v>34</v>
      </c>
      <c r="B191">
        <v>3</v>
      </c>
      <c r="C191" t="s">
        <v>186</v>
      </c>
      <c r="E191" t="s">
        <v>160</v>
      </c>
      <c r="F191" t="s">
        <v>161</v>
      </c>
      <c r="G191">
        <v>1</v>
      </c>
      <c r="H191" t="s">
        <v>190</v>
      </c>
      <c r="I191" t="s">
        <v>15</v>
      </c>
      <c r="J191" t="s">
        <v>185</v>
      </c>
      <c r="K191" t="s">
        <v>335</v>
      </c>
      <c r="L191" s="16">
        <v>1</v>
      </c>
    </row>
    <row r="192" spans="1:12">
      <c r="A192">
        <v>34</v>
      </c>
      <c r="B192">
        <v>3</v>
      </c>
      <c r="C192" t="s">
        <v>186</v>
      </c>
      <c r="E192" t="s">
        <v>191</v>
      </c>
      <c r="F192" t="s">
        <v>192</v>
      </c>
      <c r="G192">
        <v>14</v>
      </c>
      <c r="H192" t="s">
        <v>193</v>
      </c>
      <c r="I192" t="s">
        <v>15</v>
      </c>
      <c r="J192" t="s">
        <v>194</v>
      </c>
      <c r="K192" t="s">
        <v>335</v>
      </c>
      <c r="L192" s="16">
        <v>1</v>
      </c>
    </row>
    <row r="193" spans="1:12">
      <c r="A193">
        <v>34</v>
      </c>
      <c r="B193">
        <v>3</v>
      </c>
      <c r="C193" t="s">
        <v>186</v>
      </c>
      <c r="E193" t="s">
        <v>195</v>
      </c>
      <c r="F193" t="s">
        <v>196</v>
      </c>
      <c r="G193">
        <v>1</v>
      </c>
      <c r="H193" t="s">
        <v>89</v>
      </c>
      <c r="I193" t="s">
        <v>15</v>
      </c>
      <c r="J193" t="s">
        <v>185</v>
      </c>
      <c r="K193" t="s">
        <v>335</v>
      </c>
      <c r="L193" s="16">
        <v>1</v>
      </c>
    </row>
    <row r="194" spans="1:12">
      <c r="A194">
        <v>34</v>
      </c>
      <c r="B194">
        <v>3</v>
      </c>
      <c r="C194" t="s">
        <v>186</v>
      </c>
      <c r="E194" t="s">
        <v>141</v>
      </c>
      <c r="F194" t="s">
        <v>142</v>
      </c>
      <c r="H194" t="s">
        <v>37</v>
      </c>
      <c r="I194" t="s">
        <v>15</v>
      </c>
      <c r="J194" t="s">
        <v>185</v>
      </c>
      <c r="K194" t="s">
        <v>335</v>
      </c>
      <c r="L194" s="16">
        <v>1</v>
      </c>
    </row>
    <row r="195" spans="1:12">
      <c r="A195">
        <v>34</v>
      </c>
      <c r="B195">
        <v>3</v>
      </c>
      <c r="C195" t="s">
        <v>186</v>
      </c>
      <c r="E195" t="s">
        <v>146</v>
      </c>
      <c r="F195" t="s">
        <v>147</v>
      </c>
      <c r="H195" t="s">
        <v>37</v>
      </c>
      <c r="I195" t="s">
        <v>15</v>
      </c>
      <c r="J195" t="s">
        <v>185</v>
      </c>
      <c r="K195" t="s">
        <v>335</v>
      </c>
      <c r="L195" s="16">
        <v>1</v>
      </c>
    </row>
    <row r="196" spans="1:12">
      <c r="A196">
        <v>34</v>
      </c>
      <c r="B196">
        <v>3</v>
      </c>
      <c r="C196" t="s">
        <v>186</v>
      </c>
      <c r="E196" t="s">
        <v>197</v>
      </c>
      <c r="F196" t="s">
        <v>198</v>
      </c>
      <c r="H196" t="s">
        <v>37</v>
      </c>
      <c r="I196" t="s">
        <v>15</v>
      </c>
      <c r="J196" t="s">
        <v>185</v>
      </c>
      <c r="K196" t="s">
        <v>335</v>
      </c>
      <c r="L196" s="16">
        <v>1</v>
      </c>
    </row>
    <row r="197" spans="1:12">
      <c r="A197">
        <v>34</v>
      </c>
      <c r="B197">
        <v>3</v>
      </c>
      <c r="C197" t="s">
        <v>186</v>
      </c>
      <c r="E197" t="s">
        <v>27</v>
      </c>
      <c r="F197" t="s">
        <v>28</v>
      </c>
      <c r="G197">
        <v>68</v>
      </c>
      <c r="H197" t="s">
        <v>199</v>
      </c>
      <c r="I197" t="s">
        <v>15</v>
      </c>
      <c r="J197" t="s">
        <v>185</v>
      </c>
      <c r="K197" t="s">
        <v>335</v>
      </c>
      <c r="L197" s="16">
        <v>1</v>
      </c>
    </row>
    <row r="198" spans="1:12">
      <c r="A198">
        <v>34</v>
      </c>
      <c r="B198">
        <v>3</v>
      </c>
      <c r="C198" t="s">
        <v>186</v>
      </c>
      <c r="E198" t="s">
        <v>200</v>
      </c>
      <c r="F198" t="s">
        <v>201</v>
      </c>
      <c r="G198">
        <v>1</v>
      </c>
      <c r="H198" t="s">
        <v>37</v>
      </c>
      <c r="I198" t="s">
        <v>15</v>
      </c>
      <c r="J198" t="s">
        <v>185</v>
      </c>
      <c r="K198" t="s">
        <v>335</v>
      </c>
      <c r="L198" s="16">
        <v>1</v>
      </c>
    </row>
    <row r="199" spans="1:12">
      <c r="A199">
        <v>34</v>
      </c>
      <c r="B199">
        <v>3</v>
      </c>
      <c r="C199" t="s">
        <v>186</v>
      </c>
      <c r="E199" t="s">
        <v>151</v>
      </c>
      <c r="F199" t="s">
        <v>152</v>
      </c>
      <c r="G199">
        <v>1</v>
      </c>
      <c r="H199" t="s">
        <v>55</v>
      </c>
      <c r="I199" t="s">
        <v>15</v>
      </c>
      <c r="J199" t="s">
        <v>185</v>
      </c>
      <c r="K199" t="s">
        <v>335</v>
      </c>
      <c r="L199" s="16">
        <v>1</v>
      </c>
    </row>
    <row r="200" spans="1:12">
      <c r="A200">
        <v>34</v>
      </c>
      <c r="B200">
        <v>3</v>
      </c>
      <c r="C200" t="s">
        <v>186</v>
      </c>
      <c r="E200" t="s">
        <v>202</v>
      </c>
      <c r="F200" t="s">
        <v>203</v>
      </c>
      <c r="G200">
        <v>1</v>
      </c>
      <c r="H200" t="s">
        <v>37</v>
      </c>
      <c r="I200" t="s">
        <v>15</v>
      </c>
      <c r="J200" t="s">
        <v>185</v>
      </c>
      <c r="K200" t="s">
        <v>335</v>
      </c>
      <c r="L200" s="16">
        <v>1</v>
      </c>
    </row>
    <row r="201" spans="1:12">
      <c r="A201">
        <v>34</v>
      </c>
      <c r="B201">
        <v>3</v>
      </c>
      <c r="C201" t="s">
        <v>186</v>
      </c>
      <c r="E201" t="s">
        <v>59</v>
      </c>
      <c r="F201" t="s">
        <v>60</v>
      </c>
      <c r="G201">
        <v>1</v>
      </c>
      <c r="H201" t="s">
        <v>37</v>
      </c>
      <c r="I201" t="s">
        <v>15</v>
      </c>
      <c r="J201" t="s">
        <v>185</v>
      </c>
      <c r="K201" t="s">
        <v>335</v>
      </c>
      <c r="L201" s="16">
        <v>1</v>
      </c>
    </row>
    <row r="202" spans="1:12">
      <c r="A202">
        <v>34</v>
      </c>
      <c r="B202">
        <v>3</v>
      </c>
      <c r="C202" t="s">
        <v>186</v>
      </c>
      <c r="E202" t="s">
        <v>173</v>
      </c>
      <c r="F202" t="s">
        <v>174</v>
      </c>
      <c r="G202">
        <v>36</v>
      </c>
      <c r="H202" t="s">
        <v>204</v>
      </c>
      <c r="I202" t="s">
        <v>15</v>
      </c>
      <c r="J202" t="s">
        <v>185</v>
      </c>
      <c r="K202" t="s">
        <v>335</v>
      </c>
      <c r="L202" s="16">
        <v>1</v>
      </c>
    </row>
    <row r="203" spans="1:12">
      <c r="A203">
        <v>34</v>
      </c>
      <c r="B203">
        <v>3</v>
      </c>
      <c r="C203" t="s">
        <v>186</v>
      </c>
      <c r="E203" t="s">
        <v>205</v>
      </c>
      <c r="F203" t="s">
        <v>206</v>
      </c>
      <c r="G203">
        <v>2</v>
      </c>
      <c r="H203" t="s">
        <v>89</v>
      </c>
      <c r="I203" t="s">
        <v>15</v>
      </c>
      <c r="J203" t="s">
        <v>185</v>
      </c>
      <c r="K203" t="s">
        <v>335</v>
      </c>
      <c r="L203" s="16">
        <v>1</v>
      </c>
    </row>
    <row r="204" spans="1:12">
      <c r="A204">
        <v>34</v>
      </c>
      <c r="B204">
        <v>2</v>
      </c>
      <c r="C204" t="s">
        <v>207</v>
      </c>
      <c r="E204" t="s">
        <v>153</v>
      </c>
      <c r="F204" t="s">
        <v>154</v>
      </c>
      <c r="G204">
        <v>625</v>
      </c>
      <c r="H204" t="s">
        <v>208</v>
      </c>
      <c r="I204" t="s">
        <v>15</v>
      </c>
      <c r="J204" t="s">
        <v>209</v>
      </c>
      <c r="K204" t="s">
        <v>335</v>
      </c>
      <c r="L204" s="16">
        <v>1</v>
      </c>
    </row>
    <row r="205" spans="1:12">
      <c r="A205">
        <v>34</v>
      </c>
      <c r="B205">
        <v>2</v>
      </c>
      <c r="C205" t="s">
        <v>207</v>
      </c>
      <c r="E205" t="s">
        <v>27</v>
      </c>
      <c r="F205" t="s">
        <v>28</v>
      </c>
      <c r="G205">
        <v>118</v>
      </c>
      <c r="H205" t="s">
        <v>210</v>
      </c>
      <c r="I205" t="s">
        <v>15</v>
      </c>
      <c r="J205" t="s">
        <v>209</v>
      </c>
      <c r="K205" t="s">
        <v>335</v>
      </c>
      <c r="L205" s="16">
        <v>1</v>
      </c>
    </row>
    <row r="206" spans="1:12">
      <c r="A206">
        <v>34</v>
      </c>
      <c r="B206">
        <v>2</v>
      </c>
      <c r="C206" t="s">
        <v>207</v>
      </c>
      <c r="E206" t="s">
        <v>57</v>
      </c>
      <c r="F206" t="s">
        <v>58</v>
      </c>
      <c r="G206">
        <v>2</v>
      </c>
      <c r="H206" t="s">
        <v>83</v>
      </c>
      <c r="I206" t="s">
        <v>15</v>
      </c>
      <c r="J206" t="s">
        <v>209</v>
      </c>
      <c r="K206" t="s">
        <v>335</v>
      </c>
      <c r="L206" s="16">
        <v>1</v>
      </c>
    </row>
    <row r="207" spans="1:12">
      <c r="A207">
        <v>34</v>
      </c>
      <c r="B207">
        <v>2</v>
      </c>
      <c r="C207" t="s">
        <v>207</v>
      </c>
      <c r="E207" t="s">
        <v>179</v>
      </c>
      <c r="F207" t="s">
        <v>180</v>
      </c>
      <c r="G207">
        <v>2</v>
      </c>
      <c r="H207" t="s">
        <v>22</v>
      </c>
      <c r="I207" t="s">
        <v>15</v>
      </c>
      <c r="J207" t="s">
        <v>209</v>
      </c>
      <c r="K207" t="s">
        <v>335</v>
      </c>
      <c r="L207" s="16">
        <v>1</v>
      </c>
    </row>
    <row r="208" spans="1:12">
      <c r="A208">
        <v>34</v>
      </c>
      <c r="B208">
        <v>2</v>
      </c>
      <c r="C208" t="s">
        <v>207</v>
      </c>
      <c r="E208" t="s">
        <v>59</v>
      </c>
      <c r="F208" t="s">
        <v>60</v>
      </c>
      <c r="G208">
        <v>1</v>
      </c>
      <c r="H208" t="s">
        <v>37</v>
      </c>
      <c r="I208" t="s">
        <v>15</v>
      </c>
      <c r="J208" t="s">
        <v>209</v>
      </c>
      <c r="K208" t="s">
        <v>335</v>
      </c>
      <c r="L208" s="16">
        <v>1</v>
      </c>
    </row>
    <row r="209" spans="1:12">
      <c r="A209">
        <v>34</v>
      </c>
      <c r="B209">
        <v>2</v>
      </c>
      <c r="C209" t="s">
        <v>207</v>
      </c>
      <c r="E209" t="s">
        <v>106</v>
      </c>
      <c r="F209" t="s">
        <v>107</v>
      </c>
      <c r="G209">
        <v>1</v>
      </c>
      <c r="H209" t="s">
        <v>49</v>
      </c>
      <c r="I209" t="s">
        <v>15</v>
      </c>
      <c r="J209" t="s">
        <v>209</v>
      </c>
      <c r="K209" t="s">
        <v>335</v>
      </c>
      <c r="L209" s="16">
        <v>1</v>
      </c>
    </row>
    <row r="210" spans="1:12">
      <c r="A210">
        <v>34</v>
      </c>
      <c r="B210">
        <v>2</v>
      </c>
      <c r="C210" t="s">
        <v>207</v>
      </c>
      <c r="E210" t="s">
        <v>151</v>
      </c>
      <c r="F210" t="s">
        <v>152</v>
      </c>
      <c r="G210">
        <v>1</v>
      </c>
      <c r="H210" t="s">
        <v>49</v>
      </c>
      <c r="I210" t="s">
        <v>15</v>
      </c>
      <c r="J210" t="s">
        <v>209</v>
      </c>
      <c r="K210" t="s">
        <v>335</v>
      </c>
      <c r="L210" s="16">
        <v>1</v>
      </c>
    </row>
    <row r="211" spans="1:12">
      <c r="A211">
        <v>34</v>
      </c>
      <c r="B211">
        <v>2</v>
      </c>
      <c r="C211" t="s">
        <v>207</v>
      </c>
      <c r="E211" t="s">
        <v>211</v>
      </c>
      <c r="F211" t="s">
        <v>212</v>
      </c>
      <c r="G211">
        <v>2</v>
      </c>
      <c r="H211" t="s">
        <v>55</v>
      </c>
      <c r="I211" t="s">
        <v>15</v>
      </c>
      <c r="J211" t="s">
        <v>209</v>
      </c>
      <c r="K211" t="s">
        <v>335</v>
      </c>
      <c r="L211" s="16">
        <v>1</v>
      </c>
    </row>
    <row r="212" spans="1:12">
      <c r="A212">
        <v>34</v>
      </c>
      <c r="B212">
        <v>2</v>
      </c>
      <c r="C212" t="s">
        <v>207</v>
      </c>
      <c r="E212" t="s">
        <v>191</v>
      </c>
      <c r="F212" t="s">
        <v>192</v>
      </c>
      <c r="G212">
        <v>10</v>
      </c>
      <c r="H212" t="s">
        <v>213</v>
      </c>
      <c r="I212" t="s">
        <v>15</v>
      </c>
      <c r="J212" t="s">
        <v>209</v>
      </c>
      <c r="K212" t="s">
        <v>335</v>
      </c>
      <c r="L212" s="16">
        <v>1</v>
      </c>
    </row>
    <row r="213" spans="1:12">
      <c r="A213">
        <v>34</v>
      </c>
      <c r="B213">
        <v>2</v>
      </c>
      <c r="C213" t="s">
        <v>207</v>
      </c>
      <c r="E213" t="s">
        <v>12</v>
      </c>
      <c r="F213" t="s">
        <v>13</v>
      </c>
      <c r="G213">
        <v>5</v>
      </c>
      <c r="H213" t="s">
        <v>214</v>
      </c>
      <c r="I213" t="s">
        <v>15</v>
      </c>
      <c r="J213" t="s">
        <v>209</v>
      </c>
      <c r="K213" t="s">
        <v>335</v>
      </c>
      <c r="L213" s="16">
        <v>1</v>
      </c>
    </row>
    <row r="214" spans="1:12">
      <c r="A214">
        <v>34</v>
      </c>
      <c r="B214">
        <v>2</v>
      </c>
      <c r="C214" t="s">
        <v>207</v>
      </c>
      <c r="E214" t="s">
        <v>146</v>
      </c>
      <c r="F214" t="s">
        <v>147</v>
      </c>
      <c r="H214" t="s">
        <v>37</v>
      </c>
      <c r="I214" t="s">
        <v>15</v>
      </c>
      <c r="J214" t="s">
        <v>209</v>
      </c>
      <c r="K214" t="s">
        <v>335</v>
      </c>
      <c r="L214" s="16">
        <v>1</v>
      </c>
    </row>
    <row r="215" spans="1:12">
      <c r="A215">
        <v>34</v>
      </c>
      <c r="B215">
        <v>2</v>
      </c>
      <c r="C215" t="s">
        <v>207</v>
      </c>
      <c r="E215" t="s">
        <v>141</v>
      </c>
      <c r="F215" t="s">
        <v>142</v>
      </c>
      <c r="H215" t="s">
        <v>37</v>
      </c>
      <c r="I215" t="s">
        <v>15</v>
      </c>
      <c r="J215" t="s">
        <v>209</v>
      </c>
      <c r="K215" t="s">
        <v>335</v>
      </c>
      <c r="L215" s="16">
        <v>1</v>
      </c>
    </row>
    <row r="216" spans="1:12">
      <c r="A216">
        <v>34</v>
      </c>
      <c r="B216">
        <v>2</v>
      </c>
      <c r="C216" t="s">
        <v>207</v>
      </c>
      <c r="E216" t="s">
        <v>215</v>
      </c>
      <c r="F216" t="s">
        <v>216</v>
      </c>
      <c r="H216" t="s">
        <v>37</v>
      </c>
      <c r="I216" t="s">
        <v>15</v>
      </c>
      <c r="J216" t="s">
        <v>209</v>
      </c>
      <c r="K216" t="s">
        <v>335</v>
      </c>
      <c r="L216" s="16">
        <v>1</v>
      </c>
    </row>
    <row r="217" spans="1:12">
      <c r="A217">
        <v>34</v>
      </c>
      <c r="B217">
        <v>2</v>
      </c>
      <c r="C217" t="s">
        <v>207</v>
      </c>
      <c r="E217" t="s">
        <v>173</v>
      </c>
      <c r="F217" t="s">
        <v>174</v>
      </c>
      <c r="G217">
        <v>16</v>
      </c>
      <c r="H217" t="s">
        <v>109</v>
      </c>
      <c r="I217" t="s">
        <v>15</v>
      </c>
      <c r="J217" t="s">
        <v>209</v>
      </c>
      <c r="K217" t="s">
        <v>335</v>
      </c>
      <c r="L217" s="16">
        <v>1</v>
      </c>
    </row>
    <row r="218" spans="1:12">
      <c r="A218">
        <v>23</v>
      </c>
      <c r="B218">
        <v>1</v>
      </c>
      <c r="C218" t="s">
        <v>217</v>
      </c>
      <c r="E218" t="s">
        <v>12</v>
      </c>
      <c r="F218" t="s">
        <v>13</v>
      </c>
      <c r="G218">
        <v>1</v>
      </c>
      <c r="H218" t="s">
        <v>67</v>
      </c>
      <c r="I218" t="s">
        <v>34</v>
      </c>
      <c r="J218" t="s">
        <v>218</v>
      </c>
      <c r="K218" t="s">
        <v>335</v>
      </c>
      <c r="L218" s="16">
        <v>1</v>
      </c>
    </row>
    <row r="219" spans="1:12">
      <c r="A219">
        <v>23</v>
      </c>
      <c r="B219">
        <v>1</v>
      </c>
      <c r="C219" t="s">
        <v>217</v>
      </c>
      <c r="E219" t="s">
        <v>57</v>
      </c>
      <c r="F219" t="s">
        <v>58</v>
      </c>
      <c r="G219">
        <v>1</v>
      </c>
      <c r="H219" t="s">
        <v>55</v>
      </c>
      <c r="I219" t="s">
        <v>34</v>
      </c>
      <c r="J219" t="s">
        <v>218</v>
      </c>
      <c r="K219" t="s">
        <v>335</v>
      </c>
      <c r="L219" s="16">
        <v>1</v>
      </c>
    </row>
    <row r="220" spans="1:12">
      <c r="A220">
        <v>23</v>
      </c>
      <c r="B220">
        <v>1</v>
      </c>
      <c r="C220" t="s">
        <v>217</v>
      </c>
      <c r="E220" t="s">
        <v>151</v>
      </c>
      <c r="F220" t="s">
        <v>152</v>
      </c>
      <c r="G220">
        <v>1</v>
      </c>
      <c r="H220" t="s">
        <v>37</v>
      </c>
      <c r="I220" t="s">
        <v>34</v>
      </c>
      <c r="J220" t="s">
        <v>218</v>
      </c>
      <c r="K220" t="s">
        <v>335</v>
      </c>
      <c r="L220" s="16">
        <v>1</v>
      </c>
    </row>
    <row r="221" spans="1:12">
      <c r="A221">
        <v>23</v>
      </c>
      <c r="B221">
        <v>1</v>
      </c>
      <c r="C221" t="s">
        <v>217</v>
      </c>
      <c r="E221" t="s">
        <v>191</v>
      </c>
      <c r="F221" t="s">
        <v>192</v>
      </c>
      <c r="G221">
        <v>2</v>
      </c>
      <c r="H221" t="s">
        <v>49</v>
      </c>
      <c r="I221" t="s">
        <v>34</v>
      </c>
      <c r="J221" t="s">
        <v>218</v>
      </c>
      <c r="K221" t="s">
        <v>335</v>
      </c>
      <c r="L221" s="16">
        <v>1</v>
      </c>
    </row>
    <row r="222" spans="1:12">
      <c r="A222">
        <v>23</v>
      </c>
      <c r="B222">
        <v>1</v>
      </c>
      <c r="C222" t="s">
        <v>217</v>
      </c>
      <c r="E222" t="s">
        <v>27</v>
      </c>
      <c r="F222" t="s">
        <v>28</v>
      </c>
      <c r="G222">
        <v>279</v>
      </c>
      <c r="H222" t="s">
        <v>219</v>
      </c>
      <c r="I222" t="s">
        <v>34</v>
      </c>
      <c r="J222" t="s">
        <v>218</v>
      </c>
      <c r="K222" t="s">
        <v>335</v>
      </c>
      <c r="L222" s="16">
        <v>1</v>
      </c>
    </row>
    <row r="223" spans="1:12">
      <c r="A223">
        <v>23</v>
      </c>
      <c r="B223">
        <v>2</v>
      </c>
      <c r="C223" t="s">
        <v>220</v>
      </c>
      <c r="E223" t="s">
        <v>202</v>
      </c>
      <c r="F223" t="s">
        <v>203</v>
      </c>
      <c r="G223">
        <v>2</v>
      </c>
      <c r="H223" t="s">
        <v>55</v>
      </c>
      <c r="I223" t="s">
        <v>34</v>
      </c>
      <c r="J223" t="s">
        <v>218</v>
      </c>
      <c r="K223" t="s">
        <v>335</v>
      </c>
      <c r="L223" s="16">
        <v>30</v>
      </c>
    </row>
    <row r="224" spans="1:12">
      <c r="A224">
        <v>23</v>
      </c>
      <c r="B224">
        <v>2</v>
      </c>
      <c r="C224" t="s">
        <v>220</v>
      </c>
      <c r="E224" t="s">
        <v>27</v>
      </c>
      <c r="F224" t="s">
        <v>28</v>
      </c>
      <c r="G224">
        <v>235</v>
      </c>
      <c r="H224" t="s">
        <v>221</v>
      </c>
      <c r="I224" t="s">
        <v>34</v>
      </c>
      <c r="J224" t="s">
        <v>218</v>
      </c>
      <c r="K224" t="s">
        <v>335</v>
      </c>
      <c r="L224" s="16">
        <v>30</v>
      </c>
    </row>
    <row r="225" spans="1:12">
      <c r="A225">
        <v>23</v>
      </c>
      <c r="B225">
        <v>3</v>
      </c>
      <c r="C225" t="s">
        <v>222</v>
      </c>
      <c r="E225" t="s">
        <v>27</v>
      </c>
      <c r="F225" t="s">
        <v>28</v>
      </c>
      <c r="G225">
        <v>196</v>
      </c>
      <c r="H225" t="s">
        <v>223</v>
      </c>
      <c r="I225" t="s">
        <v>34</v>
      </c>
      <c r="J225" t="s">
        <v>224</v>
      </c>
      <c r="K225" t="s">
        <v>335</v>
      </c>
      <c r="L225" s="16">
        <v>30</v>
      </c>
    </row>
    <row r="226" spans="1:12">
      <c r="A226">
        <v>23</v>
      </c>
      <c r="B226">
        <v>3</v>
      </c>
      <c r="C226" t="s">
        <v>222</v>
      </c>
      <c r="E226" t="s">
        <v>146</v>
      </c>
      <c r="F226" t="s">
        <v>147</v>
      </c>
      <c r="I226" t="s">
        <v>34</v>
      </c>
      <c r="J226" t="s">
        <v>224</v>
      </c>
      <c r="K226" t="s">
        <v>335</v>
      </c>
      <c r="L226" s="16">
        <v>30</v>
      </c>
    </row>
    <row r="227" spans="1:12">
      <c r="A227">
        <v>24</v>
      </c>
      <c r="B227">
        <v>2</v>
      </c>
      <c r="C227" t="s">
        <v>225</v>
      </c>
      <c r="E227" t="s">
        <v>226</v>
      </c>
      <c r="F227" t="s">
        <v>227</v>
      </c>
      <c r="G227">
        <v>1</v>
      </c>
      <c r="H227" t="s">
        <v>22</v>
      </c>
      <c r="I227" t="s">
        <v>34</v>
      </c>
      <c r="J227" t="s">
        <v>228</v>
      </c>
      <c r="K227" t="s">
        <v>335</v>
      </c>
      <c r="L227" s="16">
        <v>30</v>
      </c>
    </row>
    <row r="228" spans="1:12">
      <c r="A228">
        <v>24</v>
      </c>
      <c r="B228">
        <v>2</v>
      </c>
      <c r="C228" t="s">
        <v>225</v>
      </c>
      <c r="E228" t="s">
        <v>12</v>
      </c>
      <c r="F228" t="s">
        <v>13</v>
      </c>
      <c r="G228">
        <v>1</v>
      </c>
      <c r="H228" t="s">
        <v>229</v>
      </c>
      <c r="I228" t="s">
        <v>34</v>
      </c>
      <c r="J228" t="s">
        <v>228</v>
      </c>
      <c r="K228" t="s">
        <v>335</v>
      </c>
      <c r="L228" s="16">
        <v>30</v>
      </c>
    </row>
    <row r="229" spans="1:12">
      <c r="A229">
        <v>24</v>
      </c>
      <c r="B229">
        <v>2</v>
      </c>
      <c r="C229" t="s">
        <v>225</v>
      </c>
      <c r="E229" t="s">
        <v>146</v>
      </c>
      <c r="F229" t="s">
        <v>147</v>
      </c>
      <c r="I229" t="s">
        <v>34</v>
      </c>
      <c r="J229" t="s">
        <v>228</v>
      </c>
      <c r="K229" t="s">
        <v>335</v>
      </c>
      <c r="L229" s="16">
        <v>30</v>
      </c>
    </row>
    <row r="230" spans="1:12">
      <c r="A230">
        <v>24</v>
      </c>
      <c r="B230">
        <v>2</v>
      </c>
      <c r="C230" t="s">
        <v>225</v>
      </c>
      <c r="E230" t="s">
        <v>215</v>
      </c>
      <c r="F230" t="s">
        <v>216</v>
      </c>
      <c r="I230" t="s">
        <v>34</v>
      </c>
      <c r="J230" t="s">
        <v>228</v>
      </c>
      <c r="K230" t="s">
        <v>335</v>
      </c>
      <c r="L230" s="16">
        <v>30</v>
      </c>
    </row>
    <row r="231" spans="1:12">
      <c r="A231">
        <v>24</v>
      </c>
      <c r="B231">
        <v>2</v>
      </c>
      <c r="C231" t="s">
        <v>225</v>
      </c>
      <c r="E231" t="s">
        <v>197</v>
      </c>
      <c r="F231" t="s">
        <v>198</v>
      </c>
      <c r="I231" t="s">
        <v>34</v>
      </c>
      <c r="J231" t="s">
        <v>228</v>
      </c>
      <c r="K231" t="s">
        <v>335</v>
      </c>
      <c r="L231" s="16">
        <v>30</v>
      </c>
    </row>
    <row r="232" spans="1:12">
      <c r="A232">
        <v>24</v>
      </c>
      <c r="B232">
        <v>2</v>
      </c>
      <c r="C232" t="s">
        <v>225</v>
      </c>
      <c r="E232" t="s">
        <v>27</v>
      </c>
      <c r="F232" t="s">
        <v>28</v>
      </c>
      <c r="G232">
        <v>154</v>
      </c>
      <c r="H232" t="s">
        <v>230</v>
      </c>
      <c r="I232" t="s">
        <v>34</v>
      </c>
      <c r="J232" t="s">
        <v>228</v>
      </c>
      <c r="K232" t="s">
        <v>335</v>
      </c>
      <c r="L232" s="16">
        <v>30</v>
      </c>
    </row>
    <row r="233" spans="1:12">
      <c r="A233">
        <v>24</v>
      </c>
      <c r="B233">
        <v>1</v>
      </c>
      <c r="C233" t="s">
        <v>231</v>
      </c>
      <c r="E233" t="s">
        <v>138</v>
      </c>
      <c r="F233" t="s">
        <v>139</v>
      </c>
      <c r="I233" t="s">
        <v>34</v>
      </c>
      <c r="J233" t="s">
        <v>228</v>
      </c>
      <c r="K233" t="s">
        <v>335</v>
      </c>
      <c r="L233" s="16">
        <v>1</v>
      </c>
    </row>
    <row r="234" spans="1:12">
      <c r="A234">
        <v>24</v>
      </c>
      <c r="B234">
        <v>1</v>
      </c>
      <c r="C234" t="s">
        <v>231</v>
      </c>
      <c r="E234" t="s">
        <v>232</v>
      </c>
      <c r="F234" t="s">
        <v>32</v>
      </c>
      <c r="I234" t="s">
        <v>34</v>
      </c>
      <c r="J234" t="s">
        <v>228</v>
      </c>
      <c r="K234" t="s">
        <v>335</v>
      </c>
      <c r="L234" s="16">
        <v>1</v>
      </c>
    </row>
    <row r="235" spans="1:12">
      <c r="A235">
        <v>24</v>
      </c>
      <c r="B235">
        <v>1</v>
      </c>
      <c r="C235" t="s">
        <v>231</v>
      </c>
      <c r="E235" t="s">
        <v>167</v>
      </c>
      <c r="F235" t="s">
        <v>168</v>
      </c>
      <c r="I235" t="s">
        <v>34</v>
      </c>
      <c r="J235" t="s">
        <v>228</v>
      </c>
      <c r="K235" t="s">
        <v>335</v>
      </c>
      <c r="L235" s="16">
        <v>1</v>
      </c>
    </row>
    <row r="236" spans="1:12">
      <c r="A236">
        <v>24</v>
      </c>
      <c r="B236">
        <v>1</v>
      </c>
      <c r="C236" t="s">
        <v>231</v>
      </c>
      <c r="E236" t="s">
        <v>197</v>
      </c>
      <c r="F236" t="s">
        <v>198</v>
      </c>
      <c r="I236" t="s">
        <v>34</v>
      </c>
      <c r="J236" t="s">
        <v>228</v>
      </c>
      <c r="K236" t="s">
        <v>335</v>
      </c>
      <c r="L236" s="16">
        <v>1</v>
      </c>
    </row>
    <row r="237" spans="1:12">
      <c r="A237">
        <v>24</v>
      </c>
      <c r="B237">
        <v>1</v>
      </c>
      <c r="C237" t="s">
        <v>231</v>
      </c>
      <c r="E237" t="s">
        <v>141</v>
      </c>
      <c r="F237" t="s">
        <v>142</v>
      </c>
      <c r="I237" t="s">
        <v>34</v>
      </c>
      <c r="J237" t="s">
        <v>228</v>
      </c>
      <c r="K237" t="s">
        <v>335</v>
      </c>
      <c r="L237" s="16">
        <v>1</v>
      </c>
    </row>
    <row r="238" spans="1:12">
      <c r="A238">
        <v>24</v>
      </c>
      <c r="B238">
        <v>1</v>
      </c>
      <c r="C238" t="s">
        <v>231</v>
      </c>
      <c r="E238" t="s">
        <v>146</v>
      </c>
      <c r="F238" t="s">
        <v>147</v>
      </c>
      <c r="I238" t="s">
        <v>34</v>
      </c>
      <c r="J238" t="s">
        <v>228</v>
      </c>
      <c r="K238" t="s">
        <v>335</v>
      </c>
      <c r="L238" s="16">
        <v>1</v>
      </c>
    </row>
    <row r="239" spans="1:12">
      <c r="A239">
        <v>24</v>
      </c>
      <c r="B239">
        <v>1</v>
      </c>
      <c r="C239" t="s">
        <v>231</v>
      </c>
      <c r="E239" t="s">
        <v>12</v>
      </c>
      <c r="F239" t="s">
        <v>13</v>
      </c>
      <c r="G239">
        <v>6</v>
      </c>
      <c r="H239" t="s">
        <v>233</v>
      </c>
      <c r="I239" t="s">
        <v>34</v>
      </c>
      <c r="J239" t="s">
        <v>228</v>
      </c>
      <c r="K239" t="s">
        <v>335</v>
      </c>
      <c r="L239" s="16">
        <v>1</v>
      </c>
    </row>
    <row r="240" spans="1:12">
      <c r="A240">
        <v>24</v>
      </c>
      <c r="B240">
        <v>1</v>
      </c>
      <c r="C240" t="s">
        <v>231</v>
      </c>
      <c r="E240" t="s">
        <v>173</v>
      </c>
      <c r="F240" t="s">
        <v>174</v>
      </c>
      <c r="G240">
        <v>2</v>
      </c>
      <c r="H240" t="s">
        <v>83</v>
      </c>
      <c r="I240" t="s">
        <v>34</v>
      </c>
      <c r="J240" t="s">
        <v>228</v>
      </c>
      <c r="K240" t="s">
        <v>335</v>
      </c>
      <c r="L240" s="16">
        <v>1</v>
      </c>
    </row>
    <row r="241" spans="1:12">
      <c r="A241">
        <v>24</v>
      </c>
      <c r="B241">
        <v>1</v>
      </c>
      <c r="C241" t="s">
        <v>231</v>
      </c>
      <c r="E241" t="s">
        <v>202</v>
      </c>
      <c r="F241" t="s">
        <v>203</v>
      </c>
      <c r="G241">
        <v>1</v>
      </c>
      <c r="H241" t="s">
        <v>37</v>
      </c>
      <c r="I241" t="s">
        <v>34</v>
      </c>
      <c r="J241" t="s">
        <v>228</v>
      </c>
      <c r="K241" t="s">
        <v>335</v>
      </c>
      <c r="L241" s="16">
        <v>1</v>
      </c>
    </row>
    <row r="242" spans="1:12">
      <c r="A242">
        <v>24</v>
      </c>
      <c r="B242">
        <v>1</v>
      </c>
      <c r="C242" t="s">
        <v>231</v>
      </c>
      <c r="E242" t="s">
        <v>226</v>
      </c>
      <c r="F242" t="s">
        <v>227</v>
      </c>
      <c r="G242">
        <v>1</v>
      </c>
      <c r="H242" t="s">
        <v>150</v>
      </c>
      <c r="I242" t="s">
        <v>34</v>
      </c>
      <c r="J242" t="s">
        <v>228</v>
      </c>
      <c r="K242" t="s">
        <v>335</v>
      </c>
      <c r="L242" s="16">
        <v>1</v>
      </c>
    </row>
    <row r="243" spans="1:12">
      <c r="A243">
        <v>24</v>
      </c>
      <c r="B243">
        <v>1</v>
      </c>
      <c r="C243" t="s">
        <v>231</v>
      </c>
      <c r="E243" t="s">
        <v>27</v>
      </c>
      <c r="F243" t="s">
        <v>28</v>
      </c>
      <c r="G243">
        <v>579</v>
      </c>
      <c r="H243" t="s">
        <v>234</v>
      </c>
      <c r="I243" t="s">
        <v>34</v>
      </c>
      <c r="J243" t="s">
        <v>228</v>
      </c>
      <c r="K243" t="s">
        <v>335</v>
      </c>
      <c r="L243" s="16">
        <v>1</v>
      </c>
    </row>
    <row r="244" spans="1:12">
      <c r="A244">
        <v>24</v>
      </c>
      <c r="B244">
        <v>3</v>
      </c>
      <c r="C244" t="s">
        <v>235</v>
      </c>
      <c r="E244" t="s">
        <v>12</v>
      </c>
      <c r="F244" t="s">
        <v>13</v>
      </c>
      <c r="G244">
        <v>4</v>
      </c>
      <c r="H244" t="s">
        <v>236</v>
      </c>
      <c r="I244" t="s">
        <v>34</v>
      </c>
      <c r="J244" t="s">
        <v>237</v>
      </c>
      <c r="K244" t="s">
        <v>335</v>
      </c>
      <c r="L244" s="16">
        <v>30</v>
      </c>
    </row>
    <row r="245" spans="1:12">
      <c r="A245">
        <v>24</v>
      </c>
      <c r="B245">
        <v>3</v>
      </c>
      <c r="C245" t="s">
        <v>235</v>
      </c>
      <c r="E245" t="s">
        <v>173</v>
      </c>
      <c r="F245" t="s">
        <v>174</v>
      </c>
      <c r="G245">
        <v>1</v>
      </c>
      <c r="H245" t="s">
        <v>55</v>
      </c>
      <c r="I245" t="s">
        <v>34</v>
      </c>
      <c r="J245" t="s">
        <v>237</v>
      </c>
      <c r="K245" t="s">
        <v>335</v>
      </c>
      <c r="L245" s="16">
        <v>30</v>
      </c>
    </row>
    <row r="246" spans="1:12">
      <c r="A246">
        <v>24</v>
      </c>
      <c r="B246">
        <v>3</v>
      </c>
      <c r="C246" t="s">
        <v>235</v>
      </c>
      <c r="E246" t="s">
        <v>153</v>
      </c>
      <c r="F246" t="s">
        <v>154</v>
      </c>
      <c r="G246">
        <v>2</v>
      </c>
      <c r="H246" t="s">
        <v>55</v>
      </c>
      <c r="I246" t="s">
        <v>34</v>
      </c>
      <c r="J246" t="s">
        <v>237</v>
      </c>
      <c r="K246" t="s">
        <v>335</v>
      </c>
      <c r="L246" s="16">
        <v>30</v>
      </c>
    </row>
    <row r="247" spans="1:12">
      <c r="A247">
        <v>24</v>
      </c>
      <c r="B247">
        <v>3</v>
      </c>
      <c r="C247" t="s">
        <v>235</v>
      </c>
      <c r="E247" t="s">
        <v>151</v>
      </c>
      <c r="F247" t="s">
        <v>152</v>
      </c>
      <c r="G247">
        <v>1</v>
      </c>
      <c r="H247" t="s">
        <v>49</v>
      </c>
      <c r="I247" t="s">
        <v>34</v>
      </c>
      <c r="J247" t="s">
        <v>237</v>
      </c>
      <c r="K247" t="s">
        <v>335</v>
      </c>
      <c r="L247" s="16">
        <v>30</v>
      </c>
    </row>
    <row r="248" spans="1:12">
      <c r="A248">
        <v>24</v>
      </c>
      <c r="B248">
        <v>3</v>
      </c>
      <c r="C248" t="s">
        <v>235</v>
      </c>
      <c r="E248" t="s">
        <v>74</v>
      </c>
      <c r="F248" t="s">
        <v>75</v>
      </c>
      <c r="G248">
        <v>2</v>
      </c>
      <c r="H248" t="s">
        <v>238</v>
      </c>
      <c r="I248" t="s">
        <v>34</v>
      </c>
      <c r="J248" t="s">
        <v>237</v>
      </c>
      <c r="K248" t="s">
        <v>335</v>
      </c>
      <c r="L248" s="16">
        <v>30</v>
      </c>
    </row>
    <row r="249" spans="1:12">
      <c r="A249">
        <v>24</v>
      </c>
      <c r="B249">
        <v>3</v>
      </c>
      <c r="C249" t="s">
        <v>235</v>
      </c>
      <c r="E249" t="s">
        <v>197</v>
      </c>
      <c r="F249" t="s">
        <v>198</v>
      </c>
      <c r="I249" t="s">
        <v>34</v>
      </c>
      <c r="J249" t="s">
        <v>237</v>
      </c>
      <c r="K249" t="s">
        <v>335</v>
      </c>
      <c r="L249" s="16">
        <v>30</v>
      </c>
    </row>
    <row r="250" spans="1:12">
      <c r="A250">
        <v>24</v>
      </c>
      <c r="B250">
        <v>3</v>
      </c>
      <c r="C250" t="s">
        <v>235</v>
      </c>
      <c r="E250" t="s">
        <v>27</v>
      </c>
      <c r="F250" t="s">
        <v>28</v>
      </c>
      <c r="G250">
        <v>382</v>
      </c>
      <c r="H250" t="s">
        <v>239</v>
      </c>
      <c r="I250" t="s">
        <v>34</v>
      </c>
      <c r="J250" t="s">
        <v>237</v>
      </c>
      <c r="K250" t="s">
        <v>335</v>
      </c>
      <c r="L250" s="16">
        <v>30</v>
      </c>
    </row>
    <row r="251" spans="1:12">
      <c r="A251">
        <v>24</v>
      </c>
      <c r="B251">
        <v>3</v>
      </c>
      <c r="C251" t="s">
        <v>235</v>
      </c>
      <c r="E251" t="s">
        <v>146</v>
      </c>
      <c r="F251" t="s">
        <v>147</v>
      </c>
      <c r="I251" t="s">
        <v>34</v>
      </c>
      <c r="J251" t="s">
        <v>237</v>
      </c>
      <c r="K251" t="s">
        <v>335</v>
      </c>
      <c r="L251" s="16">
        <v>30</v>
      </c>
    </row>
    <row r="252" spans="1:12">
      <c r="A252">
        <v>24</v>
      </c>
      <c r="B252">
        <v>3</v>
      </c>
      <c r="C252" t="s">
        <v>235</v>
      </c>
      <c r="E252" t="s">
        <v>232</v>
      </c>
      <c r="F252" t="s">
        <v>32</v>
      </c>
      <c r="I252" t="s">
        <v>34</v>
      </c>
      <c r="J252" t="s">
        <v>237</v>
      </c>
      <c r="K252" t="s">
        <v>335</v>
      </c>
      <c r="L252" s="16">
        <v>30</v>
      </c>
    </row>
    <row r="253" spans="1:12">
      <c r="A253">
        <v>24</v>
      </c>
      <c r="B253">
        <v>3</v>
      </c>
      <c r="C253" t="s">
        <v>235</v>
      </c>
      <c r="E253" t="s">
        <v>215</v>
      </c>
      <c r="F253" t="s">
        <v>216</v>
      </c>
      <c r="I253" t="s">
        <v>34</v>
      </c>
      <c r="J253" t="s">
        <v>237</v>
      </c>
      <c r="K253" t="s">
        <v>335</v>
      </c>
      <c r="L253" s="16">
        <v>30</v>
      </c>
    </row>
    <row r="254" spans="1:12">
      <c r="A254">
        <v>25</v>
      </c>
      <c r="B254">
        <v>1</v>
      </c>
      <c r="C254" t="s">
        <v>240</v>
      </c>
      <c r="E254" t="s">
        <v>153</v>
      </c>
      <c r="F254" t="s">
        <v>154</v>
      </c>
      <c r="G254">
        <v>15</v>
      </c>
      <c r="H254" t="s">
        <v>241</v>
      </c>
      <c r="I254" t="s">
        <v>34</v>
      </c>
      <c r="J254" t="s">
        <v>218</v>
      </c>
      <c r="K254" t="s">
        <v>335</v>
      </c>
      <c r="L254" s="16">
        <v>1</v>
      </c>
    </row>
    <row r="255" spans="1:12">
      <c r="A255">
        <v>25</v>
      </c>
      <c r="B255">
        <v>1</v>
      </c>
      <c r="C255" t="s">
        <v>240</v>
      </c>
      <c r="E255" t="s">
        <v>12</v>
      </c>
      <c r="F255" t="s">
        <v>13</v>
      </c>
      <c r="G255">
        <v>1</v>
      </c>
      <c r="H255" t="s">
        <v>242</v>
      </c>
      <c r="I255" t="s">
        <v>34</v>
      </c>
      <c r="J255" t="s">
        <v>218</v>
      </c>
      <c r="K255" t="s">
        <v>335</v>
      </c>
      <c r="L255" s="16">
        <v>1</v>
      </c>
    </row>
    <row r="256" spans="1:12">
      <c r="A256">
        <v>25</v>
      </c>
      <c r="B256">
        <v>1</v>
      </c>
      <c r="C256" t="s">
        <v>240</v>
      </c>
      <c r="E256" t="s">
        <v>76</v>
      </c>
      <c r="F256" t="s">
        <v>77</v>
      </c>
      <c r="G256">
        <v>1</v>
      </c>
      <c r="H256" t="s">
        <v>78</v>
      </c>
      <c r="I256" t="s">
        <v>34</v>
      </c>
      <c r="J256" t="s">
        <v>218</v>
      </c>
      <c r="K256" t="s">
        <v>335</v>
      </c>
      <c r="L256" s="16">
        <v>1</v>
      </c>
    </row>
    <row r="257" spans="1:12">
      <c r="A257">
        <v>25</v>
      </c>
      <c r="B257">
        <v>1</v>
      </c>
      <c r="C257" t="s">
        <v>240</v>
      </c>
      <c r="E257" t="s">
        <v>59</v>
      </c>
      <c r="F257" t="s">
        <v>60</v>
      </c>
      <c r="G257">
        <v>1</v>
      </c>
      <c r="H257" t="s">
        <v>55</v>
      </c>
      <c r="I257" t="s">
        <v>34</v>
      </c>
      <c r="J257" t="s">
        <v>218</v>
      </c>
      <c r="K257" t="s">
        <v>335</v>
      </c>
      <c r="L257" s="16">
        <v>1</v>
      </c>
    </row>
    <row r="258" spans="1:12">
      <c r="A258">
        <v>25</v>
      </c>
      <c r="B258">
        <v>1</v>
      </c>
      <c r="C258" t="s">
        <v>240</v>
      </c>
      <c r="E258" t="s">
        <v>27</v>
      </c>
      <c r="F258" t="s">
        <v>28</v>
      </c>
      <c r="G258">
        <v>224</v>
      </c>
      <c r="H258" t="s">
        <v>243</v>
      </c>
      <c r="I258" t="s">
        <v>34</v>
      </c>
      <c r="J258" t="s">
        <v>218</v>
      </c>
      <c r="K258" t="s">
        <v>335</v>
      </c>
      <c r="L258" s="16">
        <v>1</v>
      </c>
    </row>
    <row r="259" spans="1:12">
      <c r="A259">
        <v>25</v>
      </c>
      <c r="B259">
        <v>2</v>
      </c>
      <c r="C259" t="s">
        <v>244</v>
      </c>
      <c r="E259" t="s">
        <v>153</v>
      </c>
      <c r="F259" t="s">
        <v>154</v>
      </c>
      <c r="G259">
        <v>16</v>
      </c>
      <c r="H259" t="s">
        <v>245</v>
      </c>
      <c r="I259" t="s">
        <v>34</v>
      </c>
      <c r="J259" t="s">
        <v>218</v>
      </c>
      <c r="K259" t="s">
        <v>335</v>
      </c>
      <c r="L259" s="16">
        <v>30</v>
      </c>
    </row>
    <row r="260" spans="1:12">
      <c r="A260">
        <v>25</v>
      </c>
      <c r="B260">
        <v>2</v>
      </c>
      <c r="C260" t="s">
        <v>244</v>
      </c>
      <c r="E260" t="s">
        <v>27</v>
      </c>
      <c r="F260" t="s">
        <v>28</v>
      </c>
      <c r="G260">
        <v>435</v>
      </c>
      <c r="H260" t="s">
        <v>246</v>
      </c>
      <c r="I260" t="s">
        <v>34</v>
      </c>
      <c r="J260" t="s">
        <v>218</v>
      </c>
      <c r="K260" t="s">
        <v>335</v>
      </c>
      <c r="L260" s="16">
        <v>30</v>
      </c>
    </row>
    <row r="261" spans="1:12">
      <c r="A261">
        <v>25</v>
      </c>
      <c r="B261">
        <v>2</v>
      </c>
      <c r="C261" t="s">
        <v>244</v>
      </c>
      <c r="E261" t="s">
        <v>226</v>
      </c>
      <c r="F261" t="s">
        <v>227</v>
      </c>
      <c r="G261">
        <v>1</v>
      </c>
      <c r="H261" t="s">
        <v>84</v>
      </c>
      <c r="I261" t="s">
        <v>34</v>
      </c>
      <c r="J261" t="s">
        <v>218</v>
      </c>
      <c r="K261" t="s">
        <v>335</v>
      </c>
      <c r="L261" s="16">
        <v>30</v>
      </c>
    </row>
    <row r="262" spans="1:12">
      <c r="A262">
        <v>25</v>
      </c>
      <c r="B262">
        <v>2</v>
      </c>
      <c r="C262" t="s">
        <v>244</v>
      </c>
      <c r="E262" t="s">
        <v>179</v>
      </c>
      <c r="F262" t="s">
        <v>180</v>
      </c>
      <c r="G262">
        <v>1</v>
      </c>
      <c r="H262" t="s">
        <v>247</v>
      </c>
      <c r="I262" t="s">
        <v>34</v>
      </c>
      <c r="J262" t="s">
        <v>218</v>
      </c>
      <c r="K262" t="s">
        <v>335</v>
      </c>
      <c r="L262" s="16">
        <v>30</v>
      </c>
    </row>
    <row r="263" spans="1:12">
      <c r="A263">
        <v>25</v>
      </c>
      <c r="B263">
        <v>3</v>
      </c>
      <c r="C263" t="s">
        <v>248</v>
      </c>
      <c r="E263" t="s">
        <v>12</v>
      </c>
      <c r="F263" t="s">
        <v>13</v>
      </c>
      <c r="G263">
        <v>2</v>
      </c>
      <c r="H263" t="s">
        <v>249</v>
      </c>
      <c r="I263" t="s">
        <v>34</v>
      </c>
      <c r="J263" t="s">
        <v>250</v>
      </c>
      <c r="K263" t="s">
        <v>335</v>
      </c>
      <c r="L263" s="16">
        <v>30</v>
      </c>
    </row>
    <row r="264" spans="1:12">
      <c r="A264">
        <v>25</v>
      </c>
      <c r="B264">
        <v>3</v>
      </c>
      <c r="C264" t="s">
        <v>248</v>
      </c>
      <c r="E264" t="s">
        <v>226</v>
      </c>
      <c r="F264" t="s">
        <v>227</v>
      </c>
      <c r="G264">
        <v>1</v>
      </c>
      <c r="H264" t="s">
        <v>37</v>
      </c>
      <c r="I264" t="s">
        <v>34</v>
      </c>
      <c r="J264" t="s">
        <v>250</v>
      </c>
      <c r="K264" t="s">
        <v>335</v>
      </c>
      <c r="L264" s="16">
        <v>30</v>
      </c>
    </row>
    <row r="265" spans="1:12">
      <c r="A265">
        <v>25</v>
      </c>
      <c r="B265">
        <v>3</v>
      </c>
      <c r="C265" t="s">
        <v>248</v>
      </c>
      <c r="E265" t="s">
        <v>179</v>
      </c>
      <c r="F265" t="s">
        <v>180</v>
      </c>
      <c r="G265">
        <v>1</v>
      </c>
      <c r="H265" t="s">
        <v>37</v>
      </c>
      <c r="I265" t="s">
        <v>34</v>
      </c>
      <c r="J265" t="s">
        <v>250</v>
      </c>
      <c r="K265" t="s">
        <v>335</v>
      </c>
      <c r="L265" s="16">
        <v>30</v>
      </c>
    </row>
    <row r="266" spans="1:12">
      <c r="A266">
        <v>25</v>
      </c>
      <c r="B266">
        <v>3</v>
      </c>
      <c r="C266" t="s">
        <v>248</v>
      </c>
      <c r="E266" t="s">
        <v>138</v>
      </c>
      <c r="F266" t="s">
        <v>139</v>
      </c>
      <c r="I266" t="s">
        <v>34</v>
      </c>
      <c r="J266" t="s">
        <v>250</v>
      </c>
      <c r="K266" t="s">
        <v>335</v>
      </c>
      <c r="L266" s="16">
        <v>30</v>
      </c>
    </row>
    <row r="267" spans="1:12">
      <c r="A267">
        <v>25</v>
      </c>
      <c r="B267">
        <v>3</v>
      </c>
      <c r="C267" t="s">
        <v>248</v>
      </c>
      <c r="E267" t="s">
        <v>146</v>
      </c>
      <c r="F267" t="s">
        <v>147</v>
      </c>
      <c r="I267" t="s">
        <v>34</v>
      </c>
      <c r="J267" t="s">
        <v>250</v>
      </c>
      <c r="K267" t="s">
        <v>335</v>
      </c>
      <c r="L267" s="16">
        <v>30</v>
      </c>
    </row>
    <row r="268" spans="1:12">
      <c r="A268">
        <v>25</v>
      </c>
      <c r="B268">
        <v>3</v>
      </c>
      <c r="C268" t="s">
        <v>248</v>
      </c>
      <c r="E268" t="s">
        <v>251</v>
      </c>
      <c r="F268" t="s">
        <v>252</v>
      </c>
      <c r="I268" t="s">
        <v>34</v>
      </c>
      <c r="J268" t="s">
        <v>250</v>
      </c>
      <c r="K268" t="s">
        <v>335</v>
      </c>
      <c r="L268" s="16">
        <v>30</v>
      </c>
    </row>
    <row r="269" spans="1:12">
      <c r="A269">
        <v>25</v>
      </c>
      <c r="B269">
        <v>3</v>
      </c>
      <c r="C269" t="s">
        <v>248</v>
      </c>
      <c r="E269" t="s">
        <v>253</v>
      </c>
      <c r="F269" t="s">
        <v>254</v>
      </c>
      <c r="I269" t="s">
        <v>34</v>
      </c>
      <c r="J269" t="s">
        <v>250</v>
      </c>
      <c r="K269" t="s">
        <v>335</v>
      </c>
      <c r="L269" s="16">
        <v>30</v>
      </c>
    </row>
    <row r="270" spans="1:12">
      <c r="A270">
        <v>25</v>
      </c>
      <c r="B270">
        <v>3</v>
      </c>
      <c r="C270" t="s">
        <v>248</v>
      </c>
      <c r="E270" t="s">
        <v>27</v>
      </c>
      <c r="F270" t="s">
        <v>28</v>
      </c>
      <c r="G270">
        <v>525</v>
      </c>
      <c r="H270" t="s">
        <v>255</v>
      </c>
      <c r="I270" t="s">
        <v>34</v>
      </c>
      <c r="J270" t="s">
        <v>250</v>
      </c>
      <c r="K270" t="s">
        <v>335</v>
      </c>
      <c r="L270" s="16">
        <v>30</v>
      </c>
    </row>
    <row r="271" spans="1:12">
      <c r="A271">
        <v>25</v>
      </c>
      <c r="B271">
        <v>3</v>
      </c>
      <c r="C271" t="s">
        <v>248</v>
      </c>
      <c r="E271" t="s">
        <v>153</v>
      </c>
      <c r="F271" t="s">
        <v>154</v>
      </c>
      <c r="G271">
        <v>16</v>
      </c>
      <c r="H271" t="s">
        <v>256</v>
      </c>
      <c r="I271" t="s">
        <v>34</v>
      </c>
      <c r="J271" t="s">
        <v>250</v>
      </c>
      <c r="K271" t="s">
        <v>335</v>
      </c>
      <c r="L271" s="16">
        <v>30</v>
      </c>
    </row>
    <row r="272" spans="1:12">
      <c r="A272">
        <v>25</v>
      </c>
      <c r="B272">
        <v>3</v>
      </c>
      <c r="C272" t="s">
        <v>248</v>
      </c>
      <c r="E272" t="s">
        <v>191</v>
      </c>
      <c r="F272" t="s">
        <v>192</v>
      </c>
      <c r="G272">
        <v>2</v>
      </c>
      <c r="H272" t="s">
        <v>150</v>
      </c>
      <c r="I272" t="s">
        <v>34</v>
      </c>
      <c r="J272" t="s">
        <v>250</v>
      </c>
      <c r="K272" t="s">
        <v>335</v>
      </c>
      <c r="L272" s="16">
        <v>30</v>
      </c>
    </row>
    <row r="273" spans="1:12">
      <c r="A273">
        <v>31</v>
      </c>
      <c r="B273">
        <v>3</v>
      </c>
      <c r="C273" t="s">
        <v>257</v>
      </c>
      <c r="E273" t="s">
        <v>153</v>
      </c>
      <c r="F273" t="s">
        <v>154</v>
      </c>
      <c r="G273">
        <v>27</v>
      </c>
      <c r="H273" t="s">
        <v>229</v>
      </c>
      <c r="I273" t="s">
        <v>34</v>
      </c>
      <c r="J273" t="s">
        <v>258</v>
      </c>
      <c r="K273" t="s">
        <v>335</v>
      </c>
      <c r="L273">
        <v>1</v>
      </c>
    </row>
    <row r="274" spans="1:12">
      <c r="A274">
        <v>31</v>
      </c>
      <c r="B274">
        <v>3</v>
      </c>
      <c r="C274" t="s">
        <v>257</v>
      </c>
      <c r="E274" t="s">
        <v>173</v>
      </c>
      <c r="F274" t="s">
        <v>174</v>
      </c>
      <c r="G274">
        <v>4</v>
      </c>
      <c r="H274" t="s">
        <v>84</v>
      </c>
      <c r="I274" t="s">
        <v>34</v>
      </c>
      <c r="J274" t="s">
        <v>258</v>
      </c>
      <c r="K274" t="s">
        <v>335</v>
      </c>
      <c r="L274">
        <v>1</v>
      </c>
    </row>
    <row r="275" spans="1:12">
      <c r="A275">
        <v>31</v>
      </c>
      <c r="B275">
        <v>3</v>
      </c>
      <c r="C275" t="s">
        <v>257</v>
      </c>
      <c r="E275" t="s">
        <v>175</v>
      </c>
      <c r="F275" t="s">
        <v>176</v>
      </c>
      <c r="G275">
        <v>2</v>
      </c>
      <c r="H275" t="s">
        <v>49</v>
      </c>
      <c r="I275" t="s">
        <v>34</v>
      </c>
      <c r="J275" t="s">
        <v>258</v>
      </c>
      <c r="K275" t="s">
        <v>335</v>
      </c>
      <c r="L275">
        <v>1</v>
      </c>
    </row>
    <row r="276" spans="1:12">
      <c r="A276">
        <v>31</v>
      </c>
      <c r="B276">
        <v>3</v>
      </c>
      <c r="C276" t="s">
        <v>257</v>
      </c>
      <c r="E276" t="s">
        <v>23</v>
      </c>
      <c r="F276" t="s">
        <v>24</v>
      </c>
      <c r="G276">
        <v>2</v>
      </c>
      <c r="H276" t="s">
        <v>55</v>
      </c>
      <c r="I276" t="s">
        <v>34</v>
      </c>
      <c r="J276" t="s">
        <v>258</v>
      </c>
      <c r="K276" t="s">
        <v>335</v>
      </c>
      <c r="L276">
        <v>1</v>
      </c>
    </row>
    <row r="277" spans="1:12">
      <c r="A277">
        <v>31</v>
      </c>
      <c r="B277">
        <v>3</v>
      </c>
      <c r="C277" t="s">
        <v>257</v>
      </c>
      <c r="E277" t="s">
        <v>27</v>
      </c>
      <c r="F277" t="s">
        <v>28</v>
      </c>
      <c r="G277">
        <v>4</v>
      </c>
      <c r="H277" t="s">
        <v>22</v>
      </c>
      <c r="I277" t="s">
        <v>34</v>
      </c>
      <c r="J277" t="s">
        <v>258</v>
      </c>
      <c r="K277" t="s">
        <v>335</v>
      </c>
      <c r="L277">
        <v>1</v>
      </c>
    </row>
    <row r="278" spans="1:12">
      <c r="A278">
        <v>31</v>
      </c>
      <c r="B278">
        <v>3</v>
      </c>
      <c r="C278" t="s">
        <v>257</v>
      </c>
      <c r="E278" t="s">
        <v>146</v>
      </c>
      <c r="F278" t="s">
        <v>147</v>
      </c>
      <c r="H278" t="s">
        <v>259</v>
      </c>
      <c r="I278" t="s">
        <v>34</v>
      </c>
      <c r="J278" t="s">
        <v>258</v>
      </c>
      <c r="K278" t="s">
        <v>335</v>
      </c>
      <c r="L278">
        <v>1</v>
      </c>
    </row>
    <row r="279" spans="1:12">
      <c r="A279">
        <v>31</v>
      </c>
      <c r="B279">
        <v>3</v>
      </c>
      <c r="C279" t="s">
        <v>257</v>
      </c>
      <c r="E279" t="s">
        <v>151</v>
      </c>
      <c r="F279" t="s">
        <v>152</v>
      </c>
      <c r="G279">
        <v>1</v>
      </c>
      <c r="H279" t="s">
        <v>37</v>
      </c>
      <c r="I279" t="s">
        <v>34</v>
      </c>
      <c r="J279" t="s">
        <v>258</v>
      </c>
      <c r="K279" t="s">
        <v>335</v>
      </c>
      <c r="L279">
        <v>1</v>
      </c>
    </row>
    <row r="280" spans="1:12">
      <c r="A280">
        <v>31</v>
      </c>
      <c r="B280">
        <v>3</v>
      </c>
      <c r="C280" t="s">
        <v>257</v>
      </c>
      <c r="E280" t="s">
        <v>260</v>
      </c>
      <c r="F280" t="s">
        <v>32</v>
      </c>
      <c r="I280" t="s">
        <v>34</v>
      </c>
      <c r="J280" t="s">
        <v>258</v>
      </c>
      <c r="K280" t="s">
        <v>335</v>
      </c>
      <c r="L280">
        <v>1</v>
      </c>
    </row>
    <row r="281" spans="1:12">
      <c r="A281">
        <v>31</v>
      </c>
      <c r="B281">
        <v>3</v>
      </c>
      <c r="C281" t="s">
        <v>257</v>
      </c>
      <c r="E281" t="s">
        <v>138</v>
      </c>
      <c r="F281" t="s">
        <v>139</v>
      </c>
      <c r="H281" t="s">
        <v>261</v>
      </c>
      <c r="I281" t="s">
        <v>34</v>
      </c>
      <c r="J281" t="s">
        <v>258</v>
      </c>
      <c r="K281" t="s">
        <v>335</v>
      </c>
      <c r="L281">
        <v>1</v>
      </c>
    </row>
    <row r="282" spans="1:12">
      <c r="A282">
        <v>31</v>
      </c>
      <c r="B282">
        <v>3</v>
      </c>
      <c r="C282" t="s">
        <v>257</v>
      </c>
      <c r="E282" t="s">
        <v>191</v>
      </c>
      <c r="F282" t="s">
        <v>192</v>
      </c>
      <c r="G282">
        <v>4</v>
      </c>
      <c r="H282" t="s">
        <v>262</v>
      </c>
      <c r="I282" t="s">
        <v>34</v>
      </c>
      <c r="J282" t="s">
        <v>258</v>
      </c>
      <c r="K282" t="s">
        <v>335</v>
      </c>
      <c r="L282">
        <v>1</v>
      </c>
    </row>
    <row r="283" spans="1:12">
      <c r="A283">
        <v>31</v>
      </c>
      <c r="B283">
        <v>3</v>
      </c>
      <c r="C283" t="s">
        <v>257</v>
      </c>
      <c r="E283" t="s">
        <v>202</v>
      </c>
      <c r="F283" t="s">
        <v>203</v>
      </c>
      <c r="G283">
        <v>2</v>
      </c>
      <c r="H283" t="s">
        <v>37</v>
      </c>
      <c r="I283" t="s">
        <v>34</v>
      </c>
      <c r="J283" t="s">
        <v>258</v>
      </c>
      <c r="K283" t="s">
        <v>335</v>
      </c>
      <c r="L283">
        <v>1</v>
      </c>
    </row>
    <row r="284" spans="1:12">
      <c r="A284">
        <v>31</v>
      </c>
      <c r="B284">
        <v>1</v>
      </c>
      <c r="C284" t="s">
        <v>263</v>
      </c>
      <c r="E284" t="s">
        <v>191</v>
      </c>
      <c r="F284" t="s">
        <v>192</v>
      </c>
      <c r="G284">
        <v>8</v>
      </c>
      <c r="H284" t="s">
        <v>264</v>
      </c>
      <c r="I284" t="s">
        <v>34</v>
      </c>
      <c r="J284" t="s">
        <v>265</v>
      </c>
      <c r="K284" t="s">
        <v>335</v>
      </c>
      <c r="L284">
        <v>1</v>
      </c>
    </row>
    <row r="285" spans="1:12">
      <c r="A285">
        <v>31</v>
      </c>
      <c r="B285">
        <v>1</v>
      </c>
      <c r="C285" t="s">
        <v>263</v>
      </c>
      <c r="E285" t="s">
        <v>153</v>
      </c>
      <c r="F285" t="s">
        <v>154</v>
      </c>
      <c r="G285">
        <v>26</v>
      </c>
      <c r="H285" t="s">
        <v>266</v>
      </c>
      <c r="I285" t="s">
        <v>34</v>
      </c>
      <c r="J285" t="s">
        <v>265</v>
      </c>
      <c r="K285" t="s">
        <v>335</v>
      </c>
      <c r="L285">
        <v>1</v>
      </c>
    </row>
    <row r="286" spans="1:12">
      <c r="A286">
        <v>31</v>
      </c>
      <c r="B286">
        <v>1</v>
      </c>
      <c r="C286" t="s">
        <v>263</v>
      </c>
      <c r="E286" t="s">
        <v>138</v>
      </c>
      <c r="F286" t="s">
        <v>139</v>
      </c>
      <c r="H286" t="s">
        <v>267</v>
      </c>
      <c r="I286" t="s">
        <v>34</v>
      </c>
      <c r="J286" t="s">
        <v>265</v>
      </c>
      <c r="K286" t="s">
        <v>335</v>
      </c>
      <c r="L286">
        <v>1</v>
      </c>
    </row>
    <row r="287" spans="1:12">
      <c r="A287">
        <v>31</v>
      </c>
      <c r="B287">
        <v>1</v>
      </c>
      <c r="C287" t="s">
        <v>263</v>
      </c>
      <c r="E287" t="s">
        <v>197</v>
      </c>
      <c r="F287" t="s">
        <v>198</v>
      </c>
      <c r="H287" t="s">
        <v>150</v>
      </c>
      <c r="I287" t="s">
        <v>34</v>
      </c>
      <c r="J287" t="s">
        <v>265</v>
      </c>
      <c r="K287" t="s">
        <v>335</v>
      </c>
      <c r="L287">
        <v>1</v>
      </c>
    </row>
    <row r="288" spans="1:12">
      <c r="A288">
        <v>31</v>
      </c>
      <c r="B288">
        <v>1</v>
      </c>
      <c r="C288" t="s">
        <v>263</v>
      </c>
      <c r="E288" t="s">
        <v>27</v>
      </c>
      <c r="F288" t="s">
        <v>28</v>
      </c>
      <c r="G288">
        <v>29</v>
      </c>
      <c r="H288" t="s">
        <v>268</v>
      </c>
      <c r="I288" t="s">
        <v>34</v>
      </c>
      <c r="J288" t="s">
        <v>265</v>
      </c>
      <c r="K288" t="s">
        <v>335</v>
      </c>
      <c r="L288">
        <v>1</v>
      </c>
    </row>
    <row r="289" spans="1:12">
      <c r="A289">
        <v>31</v>
      </c>
      <c r="B289">
        <v>1</v>
      </c>
      <c r="C289" t="s">
        <v>263</v>
      </c>
      <c r="E289" t="s">
        <v>23</v>
      </c>
      <c r="F289" t="s">
        <v>24</v>
      </c>
      <c r="G289">
        <v>1</v>
      </c>
      <c r="H289" t="s">
        <v>37</v>
      </c>
      <c r="I289" t="s">
        <v>34</v>
      </c>
      <c r="J289" t="s">
        <v>265</v>
      </c>
      <c r="K289" t="s">
        <v>335</v>
      </c>
      <c r="L289">
        <v>1</v>
      </c>
    </row>
    <row r="290" spans="1:12">
      <c r="A290">
        <v>31</v>
      </c>
      <c r="B290">
        <v>1</v>
      </c>
      <c r="C290" t="s">
        <v>263</v>
      </c>
      <c r="E290" t="s">
        <v>31</v>
      </c>
      <c r="F290" t="s">
        <v>32</v>
      </c>
      <c r="G290">
        <v>25</v>
      </c>
      <c r="H290" t="s">
        <v>269</v>
      </c>
      <c r="I290" t="s">
        <v>34</v>
      </c>
      <c r="J290" t="s">
        <v>265</v>
      </c>
      <c r="K290" t="s">
        <v>335</v>
      </c>
      <c r="L290">
        <v>1</v>
      </c>
    </row>
    <row r="291" spans="1:12">
      <c r="A291">
        <v>31</v>
      </c>
      <c r="B291">
        <v>2</v>
      </c>
      <c r="C291" t="s">
        <v>270</v>
      </c>
      <c r="E291" t="s">
        <v>191</v>
      </c>
      <c r="F291" t="s">
        <v>192</v>
      </c>
      <c r="G291">
        <v>1</v>
      </c>
      <c r="H291" t="s">
        <v>271</v>
      </c>
      <c r="I291" t="s">
        <v>34</v>
      </c>
      <c r="J291" t="s">
        <v>272</v>
      </c>
      <c r="K291" t="s">
        <v>335</v>
      </c>
      <c r="L291">
        <v>1</v>
      </c>
    </row>
    <row r="292" spans="1:12">
      <c r="A292">
        <v>31</v>
      </c>
      <c r="B292">
        <v>2</v>
      </c>
      <c r="C292" t="s">
        <v>270</v>
      </c>
      <c r="E292" t="s">
        <v>226</v>
      </c>
      <c r="F292" t="s">
        <v>227</v>
      </c>
      <c r="G292">
        <v>1</v>
      </c>
      <c r="H292" t="s">
        <v>273</v>
      </c>
      <c r="I292" t="s">
        <v>34</v>
      </c>
      <c r="J292" t="s">
        <v>272</v>
      </c>
      <c r="K292" t="s">
        <v>335</v>
      </c>
      <c r="L292">
        <v>1</v>
      </c>
    </row>
    <row r="293" spans="1:12">
      <c r="A293">
        <v>31</v>
      </c>
      <c r="B293">
        <v>2</v>
      </c>
      <c r="C293" t="s">
        <v>270</v>
      </c>
      <c r="E293" t="s">
        <v>27</v>
      </c>
      <c r="F293" t="s">
        <v>28</v>
      </c>
      <c r="G293">
        <v>4</v>
      </c>
      <c r="H293" t="s">
        <v>89</v>
      </c>
      <c r="I293" t="s">
        <v>34</v>
      </c>
      <c r="J293" t="s">
        <v>272</v>
      </c>
      <c r="K293" t="s">
        <v>335</v>
      </c>
      <c r="L293">
        <v>1</v>
      </c>
    </row>
    <row r="294" spans="1:12">
      <c r="A294">
        <v>31</v>
      </c>
      <c r="B294">
        <v>2</v>
      </c>
      <c r="C294" t="s">
        <v>270</v>
      </c>
      <c r="E294" t="s">
        <v>167</v>
      </c>
      <c r="F294" t="s">
        <v>168</v>
      </c>
      <c r="I294" t="s">
        <v>34</v>
      </c>
      <c r="J294" t="s">
        <v>272</v>
      </c>
      <c r="K294" t="s">
        <v>335</v>
      </c>
      <c r="L294">
        <v>1</v>
      </c>
    </row>
    <row r="295" spans="1:12">
      <c r="A295">
        <v>31</v>
      </c>
      <c r="B295">
        <v>2</v>
      </c>
      <c r="C295" t="s">
        <v>270</v>
      </c>
      <c r="E295" t="s">
        <v>274</v>
      </c>
      <c r="F295" t="s">
        <v>275</v>
      </c>
      <c r="I295" t="s">
        <v>34</v>
      </c>
      <c r="J295" t="s">
        <v>272</v>
      </c>
      <c r="K295" t="s">
        <v>335</v>
      </c>
      <c r="L295">
        <v>1</v>
      </c>
    </row>
    <row r="296" spans="1:12">
      <c r="A296">
        <v>31</v>
      </c>
      <c r="B296">
        <v>2</v>
      </c>
      <c r="C296" t="s">
        <v>270</v>
      </c>
      <c r="E296" t="s">
        <v>160</v>
      </c>
      <c r="F296" t="s">
        <v>161</v>
      </c>
      <c r="G296">
        <v>1</v>
      </c>
      <c r="H296" t="s">
        <v>276</v>
      </c>
      <c r="I296" t="s">
        <v>34</v>
      </c>
      <c r="J296" t="s">
        <v>272</v>
      </c>
      <c r="K296" t="s">
        <v>335</v>
      </c>
      <c r="L296">
        <v>1</v>
      </c>
    </row>
    <row r="297" spans="1:12">
      <c r="A297">
        <v>31</v>
      </c>
      <c r="B297">
        <v>2</v>
      </c>
      <c r="C297" t="s">
        <v>277</v>
      </c>
      <c r="E297" t="s">
        <v>12</v>
      </c>
      <c r="F297" t="s">
        <v>13</v>
      </c>
      <c r="G297">
        <v>1</v>
      </c>
      <c r="H297" t="s">
        <v>278</v>
      </c>
      <c r="I297" t="s">
        <v>34</v>
      </c>
      <c r="J297" t="s">
        <v>279</v>
      </c>
      <c r="K297" t="s">
        <v>335</v>
      </c>
      <c r="L297">
        <v>1</v>
      </c>
    </row>
    <row r="298" spans="1:12">
      <c r="A298">
        <v>32</v>
      </c>
      <c r="B298">
        <v>2</v>
      </c>
      <c r="C298" t="s">
        <v>277</v>
      </c>
      <c r="E298" t="s">
        <v>160</v>
      </c>
      <c r="F298" t="s">
        <v>161</v>
      </c>
      <c r="G298">
        <v>1</v>
      </c>
      <c r="H298" t="s">
        <v>280</v>
      </c>
      <c r="I298" t="s">
        <v>34</v>
      </c>
      <c r="J298" t="s">
        <v>279</v>
      </c>
      <c r="K298" t="s">
        <v>335</v>
      </c>
      <c r="L298">
        <v>1</v>
      </c>
    </row>
    <row r="299" spans="1:12">
      <c r="A299">
        <v>32</v>
      </c>
      <c r="B299">
        <v>2</v>
      </c>
      <c r="C299" t="s">
        <v>277</v>
      </c>
      <c r="E299" t="s">
        <v>106</v>
      </c>
      <c r="F299" t="s">
        <v>107</v>
      </c>
      <c r="G299">
        <v>4</v>
      </c>
      <c r="H299" t="s">
        <v>281</v>
      </c>
      <c r="I299" t="s">
        <v>34</v>
      </c>
      <c r="J299" t="s">
        <v>279</v>
      </c>
      <c r="K299" t="s">
        <v>335</v>
      </c>
      <c r="L299">
        <v>1</v>
      </c>
    </row>
    <row r="300" spans="1:12">
      <c r="A300">
        <v>32</v>
      </c>
      <c r="B300">
        <v>2</v>
      </c>
      <c r="C300" t="s">
        <v>277</v>
      </c>
      <c r="E300" t="s">
        <v>59</v>
      </c>
      <c r="F300" t="s">
        <v>60</v>
      </c>
      <c r="G300">
        <v>1</v>
      </c>
      <c r="H300" t="s">
        <v>55</v>
      </c>
      <c r="I300" t="s">
        <v>34</v>
      </c>
      <c r="J300" t="s">
        <v>279</v>
      </c>
      <c r="K300" t="s">
        <v>335</v>
      </c>
      <c r="L300">
        <v>1</v>
      </c>
    </row>
    <row r="301" spans="1:12">
      <c r="A301">
        <v>32</v>
      </c>
      <c r="B301">
        <v>2</v>
      </c>
      <c r="C301" t="s">
        <v>277</v>
      </c>
      <c r="E301" t="s">
        <v>151</v>
      </c>
      <c r="F301" t="s">
        <v>152</v>
      </c>
      <c r="G301">
        <v>6</v>
      </c>
      <c r="H301" t="s">
        <v>49</v>
      </c>
      <c r="I301" t="s">
        <v>34</v>
      </c>
      <c r="J301" t="s">
        <v>279</v>
      </c>
      <c r="K301" t="s">
        <v>335</v>
      </c>
      <c r="L301">
        <v>1</v>
      </c>
    </row>
    <row r="302" spans="1:12">
      <c r="A302">
        <v>32</v>
      </c>
      <c r="B302">
        <v>2</v>
      </c>
      <c r="C302" t="s">
        <v>277</v>
      </c>
      <c r="E302" t="s">
        <v>119</v>
      </c>
      <c r="F302" t="s">
        <v>120</v>
      </c>
      <c r="G302">
        <v>1</v>
      </c>
      <c r="H302" t="s">
        <v>49</v>
      </c>
      <c r="I302" t="s">
        <v>34</v>
      </c>
      <c r="J302" t="s">
        <v>279</v>
      </c>
      <c r="K302" t="s">
        <v>335</v>
      </c>
      <c r="L302">
        <v>1</v>
      </c>
    </row>
    <row r="303" spans="1:12">
      <c r="A303">
        <v>32</v>
      </c>
      <c r="B303">
        <v>2</v>
      </c>
      <c r="C303" t="s">
        <v>277</v>
      </c>
      <c r="E303" t="s">
        <v>38</v>
      </c>
      <c r="F303" t="s">
        <v>39</v>
      </c>
      <c r="G303">
        <v>1</v>
      </c>
      <c r="H303" t="s">
        <v>55</v>
      </c>
      <c r="I303" t="s">
        <v>34</v>
      </c>
      <c r="J303" t="s">
        <v>279</v>
      </c>
      <c r="K303" t="s">
        <v>335</v>
      </c>
      <c r="L303">
        <v>1</v>
      </c>
    </row>
    <row r="304" spans="1:12">
      <c r="A304">
        <v>32</v>
      </c>
      <c r="B304">
        <v>2</v>
      </c>
      <c r="C304" t="s">
        <v>277</v>
      </c>
      <c r="E304" t="s">
        <v>27</v>
      </c>
      <c r="F304" t="s">
        <v>28</v>
      </c>
      <c r="G304">
        <v>279</v>
      </c>
      <c r="H304" t="s">
        <v>282</v>
      </c>
      <c r="I304" t="s">
        <v>34</v>
      </c>
      <c r="J304" t="s">
        <v>279</v>
      </c>
      <c r="K304" t="s">
        <v>335</v>
      </c>
      <c r="L304">
        <v>1</v>
      </c>
    </row>
    <row r="305" spans="1:12">
      <c r="A305">
        <v>34</v>
      </c>
      <c r="B305">
        <v>1</v>
      </c>
      <c r="C305" t="s">
        <v>283</v>
      </c>
      <c r="E305" t="s">
        <v>200</v>
      </c>
      <c r="F305" t="s">
        <v>201</v>
      </c>
      <c r="G305">
        <v>3</v>
      </c>
      <c r="H305" t="s">
        <v>284</v>
      </c>
      <c r="I305" t="s">
        <v>34</v>
      </c>
      <c r="J305" t="s">
        <v>285</v>
      </c>
      <c r="K305" t="s">
        <v>335</v>
      </c>
      <c r="L305">
        <v>1</v>
      </c>
    </row>
    <row r="306" spans="1:12">
      <c r="A306">
        <v>34</v>
      </c>
      <c r="B306">
        <v>1</v>
      </c>
      <c r="C306" t="s">
        <v>283</v>
      </c>
      <c r="E306" t="s">
        <v>191</v>
      </c>
      <c r="F306" t="s">
        <v>192</v>
      </c>
      <c r="G306">
        <v>16</v>
      </c>
      <c r="H306" t="s">
        <v>286</v>
      </c>
      <c r="I306" t="s">
        <v>34</v>
      </c>
      <c r="J306" t="s">
        <v>285</v>
      </c>
      <c r="K306" t="s">
        <v>335</v>
      </c>
      <c r="L306">
        <v>1</v>
      </c>
    </row>
    <row r="307" spans="1:12">
      <c r="A307">
        <v>34</v>
      </c>
      <c r="B307">
        <v>1</v>
      </c>
      <c r="C307" t="s">
        <v>283</v>
      </c>
      <c r="E307" t="s">
        <v>226</v>
      </c>
      <c r="F307" t="s">
        <v>227</v>
      </c>
      <c r="G307">
        <v>1</v>
      </c>
      <c r="H307" t="s">
        <v>19</v>
      </c>
      <c r="I307" t="s">
        <v>34</v>
      </c>
      <c r="J307" t="s">
        <v>285</v>
      </c>
      <c r="K307" t="s">
        <v>335</v>
      </c>
      <c r="L307">
        <v>1</v>
      </c>
    </row>
    <row r="308" spans="1:12">
      <c r="A308">
        <v>34</v>
      </c>
      <c r="B308">
        <v>1</v>
      </c>
      <c r="C308" t="s">
        <v>283</v>
      </c>
      <c r="E308" t="s">
        <v>182</v>
      </c>
      <c r="F308" t="s">
        <v>183</v>
      </c>
      <c r="G308">
        <v>1</v>
      </c>
      <c r="H308" t="s">
        <v>19</v>
      </c>
      <c r="I308" t="s">
        <v>34</v>
      </c>
      <c r="J308" t="s">
        <v>285</v>
      </c>
      <c r="K308" t="s">
        <v>335</v>
      </c>
      <c r="L308">
        <v>1</v>
      </c>
    </row>
    <row r="309" spans="1:12">
      <c r="A309">
        <v>34</v>
      </c>
      <c r="B309">
        <v>1</v>
      </c>
      <c r="C309" t="s">
        <v>283</v>
      </c>
      <c r="E309" t="s">
        <v>195</v>
      </c>
      <c r="F309" t="s">
        <v>196</v>
      </c>
      <c r="G309">
        <v>3</v>
      </c>
      <c r="H309" t="s">
        <v>78</v>
      </c>
      <c r="I309" t="s">
        <v>34</v>
      </c>
      <c r="J309" t="s">
        <v>285</v>
      </c>
      <c r="K309" t="s">
        <v>335</v>
      </c>
      <c r="L309">
        <v>1</v>
      </c>
    </row>
    <row r="310" spans="1:12">
      <c r="A310">
        <v>34</v>
      </c>
      <c r="B310">
        <v>1</v>
      </c>
      <c r="C310" t="s">
        <v>283</v>
      </c>
      <c r="E310" t="s">
        <v>12</v>
      </c>
      <c r="F310" t="s">
        <v>13</v>
      </c>
      <c r="G310">
        <v>11</v>
      </c>
      <c r="H310" t="s">
        <v>287</v>
      </c>
      <c r="I310" t="s">
        <v>34</v>
      </c>
      <c r="J310" t="s">
        <v>285</v>
      </c>
      <c r="K310" t="s">
        <v>335</v>
      </c>
      <c r="L310">
        <v>1</v>
      </c>
    </row>
    <row r="311" spans="1:12">
      <c r="A311">
        <v>34</v>
      </c>
      <c r="B311">
        <v>1</v>
      </c>
      <c r="C311" t="s">
        <v>283</v>
      </c>
      <c r="E311" t="s">
        <v>173</v>
      </c>
      <c r="F311" t="s">
        <v>174</v>
      </c>
      <c r="G311">
        <v>34</v>
      </c>
      <c r="H311" t="s">
        <v>133</v>
      </c>
      <c r="I311" t="s">
        <v>34</v>
      </c>
      <c r="J311" t="s">
        <v>285</v>
      </c>
      <c r="K311" t="s">
        <v>335</v>
      </c>
      <c r="L311">
        <v>1</v>
      </c>
    </row>
    <row r="312" spans="1:12">
      <c r="A312">
        <v>34</v>
      </c>
      <c r="B312">
        <v>1</v>
      </c>
      <c r="C312" t="s">
        <v>283</v>
      </c>
      <c r="E312" t="s">
        <v>205</v>
      </c>
      <c r="F312" t="s">
        <v>206</v>
      </c>
      <c r="G312">
        <v>1</v>
      </c>
      <c r="H312" t="s">
        <v>49</v>
      </c>
      <c r="I312" t="s">
        <v>34</v>
      </c>
      <c r="J312" t="s">
        <v>285</v>
      </c>
      <c r="K312" t="s">
        <v>335</v>
      </c>
      <c r="L312">
        <v>1</v>
      </c>
    </row>
    <row r="313" spans="1:12">
      <c r="A313">
        <v>34</v>
      </c>
      <c r="B313">
        <v>1</v>
      </c>
      <c r="C313" t="s">
        <v>283</v>
      </c>
      <c r="E313" t="s">
        <v>288</v>
      </c>
      <c r="F313" t="s">
        <v>289</v>
      </c>
      <c r="G313">
        <v>2</v>
      </c>
      <c r="H313" t="s">
        <v>281</v>
      </c>
      <c r="I313" t="s">
        <v>34</v>
      </c>
      <c r="J313" t="s">
        <v>285</v>
      </c>
      <c r="K313" t="s">
        <v>335</v>
      </c>
      <c r="L313">
        <v>1</v>
      </c>
    </row>
    <row r="314" spans="1:12">
      <c r="A314">
        <v>34</v>
      </c>
      <c r="B314">
        <v>1</v>
      </c>
      <c r="C314" t="s">
        <v>283</v>
      </c>
      <c r="E314" t="s">
        <v>197</v>
      </c>
      <c r="F314" t="s">
        <v>198</v>
      </c>
      <c r="I314" t="s">
        <v>34</v>
      </c>
      <c r="J314" t="s">
        <v>285</v>
      </c>
      <c r="K314" t="s">
        <v>335</v>
      </c>
      <c r="L314">
        <v>1</v>
      </c>
    </row>
    <row r="315" spans="1:12">
      <c r="A315">
        <v>34</v>
      </c>
      <c r="B315">
        <v>1</v>
      </c>
      <c r="C315" t="s">
        <v>283</v>
      </c>
      <c r="E315" t="s">
        <v>146</v>
      </c>
      <c r="F315" t="s">
        <v>147</v>
      </c>
      <c r="I315" t="s">
        <v>34</v>
      </c>
      <c r="J315" t="s">
        <v>285</v>
      </c>
      <c r="K315" t="s">
        <v>335</v>
      </c>
      <c r="L315">
        <v>1</v>
      </c>
    </row>
    <row r="316" spans="1:12">
      <c r="A316">
        <v>34</v>
      </c>
      <c r="B316">
        <v>1</v>
      </c>
      <c r="C316" t="s">
        <v>283</v>
      </c>
      <c r="E316" t="s">
        <v>141</v>
      </c>
      <c r="F316" t="s">
        <v>142</v>
      </c>
      <c r="I316" t="s">
        <v>34</v>
      </c>
      <c r="J316" t="s">
        <v>285</v>
      </c>
      <c r="K316" t="s">
        <v>335</v>
      </c>
      <c r="L316">
        <v>1</v>
      </c>
    </row>
    <row r="317" spans="1:12">
      <c r="A317">
        <v>34</v>
      </c>
      <c r="B317">
        <v>1</v>
      </c>
      <c r="C317" t="s">
        <v>283</v>
      </c>
      <c r="E317" t="s">
        <v>215</v>
      </c>
      <c r="F317" t="s">
        <v>216</v>
      </c>
      <c r="I317" t="s">
        <v>34</v>
      </c>
      <c r="J317" t="s">
        <v>285</v>
      </c>
      <c r="K317" t="s">
        <v>335</v>
      </c>
      <c r="L317">
        <v>1</v>
      </c>
    </row>
    <row r="318" spans="1:12">
      <c r="A318">
        <v>34</v>
      </c>
      <c r="B318">
        <v>1</v>
      </c>
      <c r="C318" t="s">
        <v>283</v>
      </c>
      <c r="E318" t="s">
        <v>290</v>
      </c>
      <c r="F318" t="s">
        <v>291</v>
      </c>
      <c r="I318" t="s">
        <v>34</v>
      </c>
      <c r="J318" t="s">
        <v>285</v>
      </c>
      <c r="K318" t="s">
        <v>335</v>
      </c>
      <c r="L318">
        <v>1</v>
      </c>
    </row>
    <row r="319" spans="1:12">
      <c r="A319">
        <v>34</v>
      </c>
      <c r="B319">
        <v>1</v>
      </c>
      <c r="C319" t="s">
        <v>283</v>
      </c>
      <c r="E319" t="s">
        <v>27</v>
      </c>
      <c r="F319" t="s">
        <v>28</v>
      </c>
      <c r="G319">
        <v>239</v>
      </c>
      <c r="H319" t="s">
        <v>292</v>
      </c>
      <c r="I319" t="s">
        <v>34</v>
      </c>
      <c r="J319" t="s">
        <v>285</v>
      </c>
      <c r="K319" t="s">
        <v>335</v>
      </c>
      <c r="L319">
        <v>1</v>
      </c>
    </row>
    <row r="320" spans="1:12">
      <c r="A320">
        <v>34</v>
      </c>
      <c r="B320">
        <v>1</v>
      </c>
      <c r="C320" t="s">
        <v>283</v>
      </c>
      <c r="E320" t="s">
        <v>153</v>
      </c>
      <c r="F320" t="s">
        <v>154</v>
      </c>
      <c r="G320">
        <v>915</v>
      </c>
      <c r="H320" t="s">
        <v>293</v>
      </c>
      <c r="I320" t="s">
        <v>34</v>
      </c>
      <c r="J320" t="s">
        <v>285</v>
      </c>
      <c r="K320" t="s">
        <v>335</v>
      </c>
      <c r="L320">
        <v>1</v>
      </c>
    </row>
    <row r="321" spans="1:12">
      <c r="A321">
        <v>34</v>
      </c>
      <c r="B321">
        <v>1</v>
      </c>
      <c r="C321" t="s">
        <v>283</v>
      </c>
      <c r="E321" t="s">
        <v>211</v>
      </c>
      <c r="F321" t="s">
        <v>212</v>
      </c>
      <c r="G321">
        <v>1</v>
      </c>
      <c r="H321" t="s">
        <v>55</v>
      </c>
      <c r="I321" t="s">
        <v>34</v>
      </c>
      <c r="J321" t="s">
        <v>285</v>
      </c>
      <c r="K321" t="s">
        <v>335</v>
      </c>
      <c r="L321">
        <v>1</v>
      </c>
    </row>
    <row r="322" spans="1:12">
      <c r="A322">
        <v>34</v>
      </c>
      <c r="B322">
        <v>1</v>
      </c>
      <c r="C322" t="s">
        <v>283</v>
      </c>
      <c r="E322" t="s">
        <v>138</v>
      </c>
      <c r="F322" t="s">
        <v>139</v>
      </c>
      <c r="I322" t="s">
        <v>34</v>
      </c>
      <c r="J322" t="s">
        <v>285</v>
      </c>
      <c r="K322" t="s">
        <v>335</v>
      </c>
      <c r="L322">
        <v>1</v>
      </c>
    </row>
    <row r="323" spans="1:12">
      <c r="A323">
        <v>34</v>
      </c>
      <c r="B323">
        <v>1</v>
      </c>
      <c r="C323" t="s">
        <v>283</v>
      </c>
      <c r="E323" t="s">
        <v>59</v>
      </c>
      <c r="F323" t="s">
        <v>60</v>
      </c>
      <c r="G323">
        <v>1</v>
      </c>
      <c r="H323" t="s">
        <v>55</v>
      </c>
      <c r="I323" t="s">
        <v>34</v>
      </c>
      <c r="J323" t="s">
        <v>285</v>
      </c>
      <c r="K323" t="s">
        <v>335</v>
      </c>
      <c r="L323">
        <v>1</v>
      </c>
    </row>
    <row r="324" spans="1:12">
      <c r="A324">
        <v>34</v>
      </c>
      <c r="B324">
        <v>1</v>
      </c>
      <c r="C324" t="s">
        <v>283</v>
      </c>
      <c r="E324" t="s">
        <v>57</v>
      </c>
      <c r="F324" t="s">
        <v>58</v>
      </c>
      <c r="G324">
        <v>1</v>
      </c>
      <c r="H324" t="s">
        <v>37</v>
      </c>
      <c r="I324" t="s">
        <v>34</v>
      </c>
      <c r="J324" t="s">
        <v>285</v>
      </c>
      <c r="K324" t="s">
        <v>335</v>
      </c>
      <c r="L324">
        <v>1</v>
      </c>
    </row>
    <row r="325" spans="1:12">
      <c r="A325">
        <v>34</v>
      </c>
      <c r="B325">
        <v>1</v>
      </c>
      <c r="C325" t="s">
        <v>283</v>
      </c>
      <c r="E325" t="s">
        <v>294</v>
      </c>
      <c r="F325" t="s">
        <v>295</v>
      </c>
      <c r="G325">
        <v>2</v>
      </c>
      <c r="H325" t="s">
        <v>33</v>
      </c>
      <c r="I325" t="s">
        <v>34</v>
      </c>
      <c r="J325" t="s">
        <v>285</v>
      </c>
      <c r="K325" t="s">
        <v>335</v>
      </c>
      <c r="L325">
        <v>1</v>
      </c>
    </row>
    <row r="326" spans="1:12">
      <c r="A326">
        <v>17</v>
      </c>
      <c r="B326">
        <v>1</v>
      </c>
      <c r="C326" t="s">
        <v>296</v>
      </c>
      <c r="E326" t="s">
        <v>31</v>
      </c>
      <c r="F326" t="s">
        <v>32</v>
      </c>
      <c r="G326">
        <v>269</v>
      </c>
      <c r="H326" t="s">
        <v>297</v>
      </c>
      <c r="I326" t="s">
        <v>15</v>
      </c>
      <c r="J326" t="s">
        <v>298</v>
      </c>
      <c r="K326" t="s">
        <v>117</v>
      </c>
      <c r="L326">
        <v>1</v>
      </c>
    </row>
    <row r="327" spans="1:12">
      <c r="A327">
        <v>17</v>
      </c>
      <c r="B327">
        <v>1</v>
      </c>
      <c r="C327" t="s">
        <v>296</v>
      </c>
      <c r="E327" t="s">
        <v>146</v>
      </c>
      <c r="F327" t="s">
        <v>147</v>
      </c>
      <c r="I327" t="s">
        <v>15</v>
      </c>
      <c r="J327" t="s">
        <v>298</v>
      </c>
      <c r="K327" t="s">
        <v>117</v>
      </c>
      <c r="L327">
        <v>1</v>
      </c>
    </row>
    <row r="328" spans="1:12">
      <c r="A328">
        <v>17</v>
      </c>
      <c r="B328">
        <v>1</v>
      </c>
      <c r="C328" t="s">
        <v>296</v>
      </c>
      <c r="E328" t="s">
        <v>197</v>
      </c>
      <c r="F328" t="s">
        <v>198</v>
      </c>
      <c r="I328" t="s">
        <v>15</v>
      </c>
      <c r="J328" t="s">
        <v>298</v>
      </c>
      <c r="K328" t="s">
        <v>117</v>
      </c>
      <c r="L328">
        <v>1</v>
      </c>
    </row>
    <row r="329" spans="1:12">
      <c r="A329">
        <v>17</v>
      </c>
      <c r="B329">
        <v>1</v>
      </c>
      <c r="C329" t="s">
        <v>296</v>
      </c>
      <c r="E329" t="s">
        <v>12</v>
      </c>
      <c r="F329" t="s">
        <v>13</v>
      </c>
      <c r="G329">
        <v>3</v>
      </c>
      <c r="H329" t="s">
        <v>55</v>
      </c>
      <c r="I329" t="s">
        <v>15</v>
      </c>
      <c r="J329" t="s">
        <v>298</v>
      </c>
      <c r="K329" t="s">
        <v>117</v>
      </c>
      <c r="L329">
        <v>1</v>
      </c>
    </row>
    <row r="330" spans="1:12">
      <c r="A330">
        <v>17</v>
      </c>
      <c r="B330">
        <v>1</v>
      </c>
      <c r="C330" t="s">
        <v>296</v>
      </c>
      <c r="E330" t="s">
        <v>38</v>
      </c>
      <c r="F330" t="s">
        <v>39</v>
      </c>
      <c r="G330">
        <v>2</v>
      </c>
      <c r="H330" t="s">
        <v>55</v>
      </c>
      <c r="I330" t="s">
        <v>15</v>
      </c>
      <c r="J330" t="s">
        <v>298</v>
      </c>
      <c r="K330" t="s">
        <v>117</v>
      </c>
      <c r="L330">
        <v>1</v>
      </c>
    </row>
    <row r="331" spans="1:12">
      <c r="A331">
        <v>17</v>
      </c>
      <c r="B331">
        <v>1</v>
      </c>
      <c r="C331" t="s">
        <v>296</v>
      </c>
      <c r="E331" t="s">
        <v>76</v>
      </c>
      <c r="F331" t="s">
        <v>77</v>
      </c>
      <c r="G331">
        <v>1</v>
      </c>
      <c r="H331" t="s">
        <v>55</v>
      </c>
      <c r="I331" t="s">
        <v>15</v>
      </c>
      <c r="J331" t="s">
        <v>298</v>
      </c>
      <c r="K331" t="s">
        <v>117</v>
      </c>
      <c r="L331">
        <v>1</v>
      </c>
    </row>
    <row r="332" spans="1:12">
      <c r="A332">
        <v>17</v>
      </c>
      <c r="B332">
        <v>1</v>
      </c>
      <c r="C332" t="s">
        <v>296</v>
      </c>
      <c r="E332" t="s">
        <v>57</v>
      </c>
      <c r="F332" t="s">
        <v>58</v>
      </c>
      <c r="G332">
        <v>4</v>
      </c>
      <c r="H332" t="s">
        <v>49</v>
      </c>
      <c r="I332" t="s">
        <v>15</v>
      </c>
      <c r="J332" t="s">
        <v>298</v>
      </c>
      <c r="K332" t="s">
        <v>117</v>
      </c>
      <c r="L332">
        <v>1</v>
      </c>
    </row>
    <row r="333" spans="1:12">
      <c r="A333">
        <v>17</v>
      </c>
      <c r="B333">
        <v>1</v>
      </c>
      <c r="C333" t="s">
        <v>296</v>
      </c>
      <c r="E333" t="s">
        <v>20</v>
      </c>
      <c r="F333" t="s">
        <v>21</v>
      </c>
      <c r="G333">
        <v>35</v>
      </c>
      <c r="H333" t="s">
        <v>299</v>
      </c>
      <c r="I333" t="s">
        <v>15</v>
      </c>
      <c r="J333" t="s">
        <v>298</v>
      </c>
      <c r="K333" t="s">
        <v>117</v>
      </c>
      <c r="L333">
        <v>1</v>
      </c>
    </row>
    <row r="334" spans="1:12">
      <c r="A334">
        <v>17</v>
      </c>
      <c r="B334">
        <v>1</v>
      </c>
      <c r="C334" t="s">
        <v>296</v>
      </c>
      <c r="E334" t="s">
        <v>65</v>
      </c>
      <c r="F334" t="s">
        <v>66</v>
      </c>
      <c r="G334">
        <v>4</v>
      </c>
      <c r="H334" t="s">
        <v>84</v>
      </c>
      <c r="I334" t="s">
        <v>15</v>
      </c>
      <c r="J334" t="s">
        <v>298</v>
      </c>
      <c r="K334" t="s">
        <v>117</v>
      </c>
      <c r="L334">
        <v>1</v>
      </c>
    </row>
    <row r="335" spans="1:12">
      <c r="A335">
        <v>17</v>
      </c>
      <c r="B335">
        <v>1</v>
      </c>
      <c r="C335" t="s">
        <v>296</v>
      </c>
      <c r="E335" t="s">
        <v>31</v>
      </c>
      <c r="F335" t="s">
        <v>32</v>
      </c>
      <c r="G335">
        <v>5452</v>
      </c>
      <c r="H335" t="s">
        <v>300</v>
      </c>
      <c r="I335" t="s">
        <v>15</v>
      </c>
      <c r="J335" t="s">
        <v>298</v>
      </c>
      <c r="K335" t="s">
        <v>301</v>
      </c>
      <c r="L335">
        <v>1</v>
      </c>
    </row>
    <row r="336" spans="1:12">
      <c r="A336">
        <v>17</v>
      </c>
      <c r="B336">
        <v>1</v>
      </c>
      <c r="C336" t="s">
        <v>296</v>
      </c>
      <c r="E336" t="s">
        <v>12</v>
      </c>
      <c r="F336" t="s">
        <v>13</v>
      </c>
      <c r="G336">
        <v>15</v>
      </c>
      <c r="H336" t="s">
        <v>302</v>
      </c>
      <c r="I336" t="s">
        <v>15</v>
      </c>
      <c r="J336" t="s">
        <v>298</v>
      </c>
      <c r="K336" t="s">
        <v>301</v>
      </c>
      <c r="L336">
        <v>1</v>
      </c>
    </row>
    <row r="337" spans="1:12">
      <c r="A337">
        <v>17</v>
      </c>
      <c r="B337">
        <v>1</v>
      </c>
      <c r="C337" t="s">
        <v>296</v>
      </c>
      <c r="E337" t="s">
        <v>146</v>
      </c>
      <c r="F337" t="s">
        <v>147</v>
      </c>
      <c r="I337" t="s">
        <v>15</v>
      </c>
      <c r="J337" t="s">
        <v>298</v>
      </c>
      <c r="K337" t="s">
        <v>301</v>
      </c>
      <c r="L337">
        <v>1</v>
      </c>
    </row>
    <row r="338" spans="1:12">
      <c r="A338">
        <v>17</v>
      </c>
      <c r="B338">
        <v>1</v>
      </c>
      <c r="C338" t="s">
        <v>296</v>
      </c>
      <c r="E338" t="s">
        <v>303</v>
      </c>
      <c r="F338" t="s">
        <v>304</v>
      </c>
      <c r="I338" t="s">
        <v>15</v>
      </c>
      <c r="J338" t="s">
        <v>298</v>
      </c>
      <c r="K338" t="s">
        <v>301</v>
      </c>
      <c r="L338">
        <v>1</v>
      </c>
    </row>
    <row r="339" spans="1:12">
      <c r="A339">
        <v>17</v>
      </c>
      <c r="B339">
        <v>1</v>
      </c>
      <c r="C339" t="s">
        <v>296</v>
      </c>
      <c r="E339" t="s">
        <v>57</v>
      </c>
      <c r="F339" t="s">
        <v>58</v>
      </c>
      <c r="G339">
        <v>4</v>
      </c>
      <c r="H339" t="s">
        <v>55</v>
      </c>
      <c r="I339" t="s">
        <v>15</v>
      </c>
      <c r="J339" t="s">
        <v>298</v>
      </c>
      <c r="K339" t="s">
        <v>301</v>
      </c>
      <c r="L339">
        <v>1</v>
      </c>
    </row>
    <row r="340" spans="1:12">
      <c r="A340">
        <v>17</v>
      </c>
      <c r="B340">
        <v>1</v>
      </c>
      <c r="C340" t="s">
        <v>296</v>
      </c>
      <c r="E340" t="s">
        <v>20</v>
      </c>
      <c r="F340" t="s">
        <v>21</v>
      </c>
      <c r="G340">
        <v>3</v>
      </c>
      <c r="H340" t="s">
        <v>55</v>
      </c>
      <c r="I340" t="s">
        <v>15</v>
      </c>
      <c r="J340" t="s">
        <v>298</v>
      </c>
      <c r="K340" t="s">
        <v>301</v>
      </c>
      <c r="L340">
        <v>1</v>
      </c>
    </row>
    <row r="341" spans="1:12">
      <c r="A341">
        <v>19</v>
      </c>
      <c r="B341">
        <v>1</v>
      </c>
      <c r="C341" t="s">
        <v>118</v>
      </c>
      <c r="E341" t="s">
        <v>31</v>
      </c>
      <c r="F341" t="s">
        <v>32</v>
      </c>
      <c r="G341">
        <v>5509</v>
      </c>
      <c r="H341" t="s">
        <v>305</v>
      </c>
      <c r="I341" t="s">
        <v>15</v>
      </c>
      <c r="J341" t="s">
        <v>298</v>
      </c>
      <c r="K341" t="s">
        <v>301</v>
      </c>
      <c r="L341">
        <v>1</v>
      </c>
    </row>
    <row r="342" spans="1:12">
      <c r="A342">
        <v>19</v>
      </c>
      <c r="B342">
        <v>1</v>
      </c>
      <c r="C342" t="s">
        <v>118</v>
      </c>
      <c r="E342" t="s">
        <v>12</v>
      </c>
      <c r="F342" t="s">
        <v>13</v>
      </c>
      <c r="G342">
        <v>14</v>
      </c>
      <c r="H342" t="s">
        <v>306</v>
      </c>
      <c r="I342" t="s">
        <v>15</v>
      </c>
      <c r="J342" t="s">
        <v>298</v>
      </c>
      <c r="K342" t="s">
        <v>301</v>
      </c>
      <c r="L342">
        <v>1</v>
      </c>
    </row>
    <row r="343" spans="1:12">
      <c r="A343">
        <v>19</v>
      </c>
      <c r="B343">
        <v>1</v>
      </c>
      <c r="C343" t="s">
        <v>118</v>
      </c>
      <c r="E343" t="s">
        <v>197</v>
      </c>
      <c r="F343" t="s">
        <v>198</v>
      </c>
      <c r="I343" t="s">
        <v>15</v>
      </c>
      <c r="J343" t="s">
        <v>298</v>
      </c>
      <c r="K343" t="s">
        <v>301</v>
      </c>
      <c r="L343">
        <v>1</v>
      </c>
    </row>
    <row r="344" spans="1:12">
      <c r="A344">
        <v>19</v>
      </c>
      <c r="B344">
        <v>1</v>
      </c>
      <c r="C344" t="s">
        <v>118</v>
      </c>
      <c r="E344" t="s">
        <v>146</v>
      </c>
      <c r="F344" t="s">
        <v>147</v>
      </c>
      <c r="I344" t="s">
        <v>15</v>
      </c>
      <c r="J344" t="s">
        <v>298</v>
      </c>
      <c r="K344" t="s">
        <v>301</v>
      </c>
      <c r="L344">
        <v>1</v>
      </c>
    </row>
    <row r="345" spans="1:12">
      <c r="A345">
        <v>19</v>
      </c>
      <c r="B345">
        <v>1</v>
      </c>
      <c r="C345" t="s">
        <v>118</v>
      </c>
      <c r="E345" t="s">
        <v>17</v>
      </c>
      <c r="F345" t="s">
        <v>18</v>
      </c>
      <c r="G345">
        <v>1</v>
      </c>
      <c r="H345" t="s">
        <v>238</v>
      </c>
      <c r="I345" t="s">
        <v>15</v>
      </c>
      <c r="J345" t="s">
        <v>298</v>
      </c>
      <c r="K345" t="s">
        <v>301</v>
      </c>
      <c r="L345">
        <v>1</v>
      </c>
    </row>
    <row r="346" spans="1:12">
      <c r="A346">
        <v>19</v>
      </c>
      <c r="B346">
        <v>1</v>
      </c>
      <c r="C346" t="s">
        <v>118</v>
      </c>
      <c r="E346" t="s">
        <v>57</v>
      </c>
      <c r="F346" t="s">
        <v>58</v>
      </c>
      <c r="G346">
        <v>5</v>
      </c>
      <c r="H346" t="s">
        <v>37</v>
      </c>
      <c r="I346" t="s">
        <v>15</v>
      </c>
      <c r="J346" t="s">
        <v>298</v>
      </c>
      <c r="K346" t="s">
        <v>301</v>
      </c>
      <c r="L346">
        <v>1</v>
      </c>
    </row>
    <row r="347" spans="1:12">
      <c r="A347">
        <v>19</v>
      </c>
      <c r="B347">
        <v>1</v>
      </c>
      <c r="C347" t="s">
        <v>118</v>
      </c>
      <c r="E347" t="s">
        <v>65</v>
      </c>
      <c r="F347" t="s">
        <v>66</v>
      </c>
      <c r="G347">
        <v>12</v>
      </c>
      <c r="H347" t="s">
        <v>22</v>
      </c>
      <c r="I347" t="s">
        <v>15</v>
      </c>
      <c r="J347" t="s">
        <v>298</v>
      </c>
      <c r="K347" t="s">
        <v>301</v>
      </c>
      <c r="L347">
        <v>1</v>
      </c>
    </row>
    <row r="348" spans="1:12">
      <c r="A348">
        <v>19</v>
      </c>
      <c r="B348">
        <v>1</v>
      </c>
      <c r="C348" t="s">
        <v>118</v>
      </c>
      <c r="E348" t="s">
        <v>20</v>
      </c>
      <c r="F348" t="s">
        <v>21</v>
      </c>
      <c r="G348">
        <v>2</v>
      </c>
      <c r="H348" t="s">
        <v>55</v>
      </c>
      <c r="I348" t="s">
        <v>15</v>
      </c>
      <c r="J348" t="s">
        <v>298</v>
      </c>
      <c r="K348" t="s">
        <v>301</v>
      </c>
      <c r="L348">
        <v>1</v>
      </c>
    </row>
    <row r="356" customFormat="1"/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FDFD-B9AA-41B2-9C3F-67475FE37D44}">
  <dimension ref="I3:M15"/>
  <sheetViews>
    <sheetView zoomScale="75" workbookViewId="0">
      <selection activeCell="I3" sqref="I3:M15"/>
    </sheetView>
  </sheetViews>
  <sheetFormatPr defaultRowHeight="14.4"/>
  <sheetData>
    <row r="3" spans="9:13">
      <c r="I3" s="2"/>
      <c r="J3" s="2"/>
      <c r="K3" s="2"/>
      <c r="L3" s="2"/>
      <c r="M3" s="2"/>
    </row>
    <row r="4" spans="9:13" ht="15" thickBot="1">
      <c r="I4" s="2"/>
      <c r="J4" s="2"/>
      <c r="K4" s="2"/>
      <c r="L4" s="2"/>
      <c r="M4" s="2"/>
    </row>
    <row r="5" spans="9:13">
      <c r="I5" s="3" t="s">
        <v>307</v>
      </c>
      <c r="J5" s="4"/>
      <c r="K5" s="4"/>
      <c r="L5" s="5"/>
      <c r="M5" s="2"/>
    </row>
    <row r="6" spans="9:13">
      <c r="I6" s="6"/>
      <c r="J6" s="2" t="s">
        <v>308</v>
      </c>
      <c r="K6" s="2"/>
      <c r="L6" s="7"/>
      <c r="M6" s="2"/>
    </row>
    <row r="7" spans="9:13">
      <c r="I7" s="8" t="s">
        <v>309</v>
      </c>
      <c r="J7" s="9">
        <v>3.6269999999999998</v>
      </c>
      <c r="K7" s="2" t="s">
        <v>310</v>
      </c>
      <c r="L7" s="7"/>
      <c r="M7" s="2"/>
    </row>
    <row r="8" spans="9:13">
      <c r="I8" s="8" t="s">
        <v>311</v>
      </c>
      <c r="J8" s="10">
        <f>0.527+0.007</f>
        <v>0.53400000000000003</v>
      </c>
      <c r="K8" s="10"/>
      <c r="L8" s="7"/>
      <c r="M8" s="2"/>
    </row>
    <row r="9" spans="9:13">
      <c r="I9" s="8" t="s">
        <v>312</v>
      </c>
      <c r="J9" s="10">
        <v>2.5000000000000001E-2</v>
      </c>
      <c r="K9" s="10"/>
      <c r="L9" s="7"/>
      <c r="M9" s="2"/>
    </row>
    <row r="10" spans="9:13" ht="15" thickBot="1">
      <c r="I10" s="11"/>
      <c r="J10" s="12"/>
      <c r="K10" s="12"/>
      <c r="L10" s="13"/>
      <c r="M10" s="2"/>
    </row>
    <row r="11" spans="9:13">
      <c r="I11" s="2"/>
      <c r="J11" s="2"/>
      <c r="K11" s="2"/>
      <c r="L11" s="2"/>
      <c r="M11" s="2"/>
    </row>
    <row r="12" spans="9:13">
      <c r="I12" s="14" t="s">
        <v>313</v>
      </c>
      <c r="J12" s="15">
        <f>SUM(J7:K9)*SUM(J8:K8)/SUM(J8:K9)</f>
        <v>3.9987906976744187</v>
      </c>
      <c r="K12" s="2"/>
      <c r="L12" s="2"/>
      <c r="M12" s="2"/>
    </row>
    <row r="13" spans="9:13">
      <c r="I13" s="14" t="s">
        <v>314</v>
      </c>
      <c r="J13" s="15">
        <f>SUM(J7:K9)*SUM(J9:K9)/SUM(J8:K9)</f>
        <v>0.18720930232558139</v>
      </c>
      <c r="K13" s="2"/>
      <c r="L13" s="2"/>
      <c r="M13" s="2"/>
    </row>
    <row r="14" spans="9:13">
      <c r="I14" s="2" t="s">
        <v>315</v>
      </c>
      <c r="J14" s="2">
        <f>ROUND(J12+J13,0)</f>
        <v>4</v>
      </c>
      <c r="K14" s="2"/>
      <c r="L14" s="2"/>
      <c r="M14" s="2"/>
    </row>
    <row r="15" spans="9:13">
      <c r="I15" s="2"/>
      <c r="J15" s="2"/>
      <c r="K15" s="2"/>
      <c r="L15" s="2"/>
      <c r="M1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2026-06-08T18:23:54Z</dcterms:created>
  <dcterms:modified xsi:type="dcterms:W3CDTF">2026-06-27T21:50:57Z</dcterms:modified>
</cp:coreProperties>
</file>